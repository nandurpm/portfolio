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. SELVAKUMAR\NANDAKUMAR\"/>
    </mc:Choice>
  </mc:AlternateContent>
  <xr:revisionPtr revIDLastSave="0" documentId="13_ncr:1_{4D740165-4E69-440F-8C50-AAE247161E27}" xr6:coauthVersionLast="47" xr6:coauthVersionMax="47" xr10:uidLastSave="{00000000-0000-0000-0000-000000000000}"/>
  <bookViews>
    <workbookView xWindow="-105" yWindow="0" windowWidth="14610" windowHeight="15585" tabRatio="500" activeTab="1" xr2:uid="{00000000-000D-0000-FFFF-FFFF00000000}"/>
  </bookViews>
  <sheets>
    <sheet name="TOP ENTRY" sheetId="1" r:id="rId1"/>
    <sheet name="BOTTOM ENTRY" sheetId="2" r:id="rId2"/>
    <sheet name="OLD(FOR REFERENCE)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4" i="1" l="1"/>
  <c r="G84" i="1"/>
  <c r="J83" i="1"/>
  <c r="K83" i="1" s="1"/>
  <c r="G83" i="1"/>
  <c r="J82" i="1"/>
  <c r="K82" i="1" s="1"/>
  <c r="G82" i="1"/>
  <c r="J81" i="1"/>
  <c r="G81" i="1"/>
  <c r="K81" i="1" s="1"/>
  <c r="J80" i="1"/>
  <c r="G80" i="1"/>
  <c r="K80" i="1" s="1"/>
  <c r="J79" i="1"/>
  <c r="K79" i="1" s="1"/>
  <c r="G79" i="1"/>
  <c r="J78" i="1"/>
  <c r="G78" i="1"/>
  <c r="J77" i="1"/>
  <c r="K77" i="1" s="1"/>
  <c r="G77" i="1"/>
  <c r="J76" i="1"/>
  <c r="G76" i="1"/>
  <c r="K76" i="1" s="1"/>
  <c r="J75" i="1"/>
  <c r="G75" i="1"/>
  <c r="K75" i="1" s="1"/>
  <c r="J74" i="1"/>
  <c r="K74" i="1" s="1"/>
  <c r="G74" i="1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K10" i="3" s="1"/>
  <c r="J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K15" i="3" s="1"/>
  <c r="J15" i="3"/>
  <c r="G22" i="3"/>
  <c r="J22" i="3"/>
  <c r="K22" i="3"/>
  <c r="G23" i="3"/>
  <c r="J23" i="3"/>
  <c r="K23" i="3"/>
  <c r="G24" i="3"/>
  <c r="J24" i="3"/>
  <c r="K24" i="3" s="1"/>
  <c r="G25" i="3"/>
  <c r="J25" i="3"/>
  <c r="K25" i="3"/>
  <c r="G26" i="3"/>
  <c r="K26" i="3" s="1"/>
  <c r="J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9" i="3"/>
  <c r="J39" i="3"/>
  <c r="K39" i="3"/>
  <c r="G40" i="3"/>
  <c r="J40" i="3"/>
  <c r="K40" i="3"/>
  <c r="G41" i="3"/>
  <c r="J41" i="3"/>
  <c r="K41" i="3"/>
  <c r="G42" i="3"/>
  <c r="J42" i="3"/>
  <c r="K42" i="3"/>
  <c r="G43" i="3"/>
  <c r="J43" i="3"/>
  <c r="K43" i="3"/>
  <c r="G44" i="3"/>
  <c r="J44" i="3"/>
  <c r="K44" i="3"/>
  <c r="G45" i="3"/>
  <c r="J45" i="3"/>
  <c r="K45" i="3"/>
  <c r="G46" i="3"/>
  <c r="J46" i="3"/>
  <c r="K46" i="3"/>
  <c r="G47" i="3"/>
  <c r="J47" i="3"/>
  <c r="K47" i="3"/>
  <c r="G48" i="3"/>
  <c r="K48" i="3" s="1"/>
  <c r="J48" i="3"/>
  <c r="G49" i="3"/>
  <c r="J49" i="3"/>
  <c r="K49" i="3"/>
  <c r="G56" i="3"/>
  <c r="J56" i="3"/>
  <c r="K56" i="3"/>
  <c r="G57" i="3"/>
  <c r="J57" i="3"/>
  <c r="K57" i="3"/>
  <c r="G58" i="3"/>
  <c r="J58" i="3"/>
  <c r="K58" i="3"/>
  <c r="G59" i="3"/>
  <c r="K59" i="3" s="1"/>
  <c r="J59" i="3"/>
  <c r="G60" i="3"/>
  <c r="J60" i="3"/>
  <c r="K60" i="3"/>
  <c r="G61" i="3"/>
  <c r="J61" i="3"/>
  <c r="K61" i="3"/>
  <c r="G62" i="3"/>
  <c r="J62" i="3"/>
  <c r="K62" i="3"/>
  <c r="G63" i="3"/>
  <c r="J63" i="3"/>
  <c r="K63" i="3"/>
  <c r="G64" i="3"/>
  <c r="K64" i="3" s="1"/>
  <c r="J64" i="3"/>
  <c r="G65" i="3"/>
  <c r="J65" i="3"/>
  <c r="K65" i="3"/>
  <c r="G66" i="3"/>
  <c r="J66" i="3"/>
  <c r="K66" i="3"/>
  <c r="G73" i="3"/>
  <c r="J73" i="3"/>
  <c r="K73" i="3"/>
  <c r="G74" i="3"/>
  <c r="J74" i="3"/>
  <c r="K74" i="3"/>
  <c r="G75" i="3"/>
  <c r="K75" i="3" s="1"/>
  <c r="J75" i="3"/>
  <c r="G76" i="3"/>
  <c r="J76" i="3"/>
  <c r="K76" i="3"/>
  <c r="G77" i="3"/>
  <c r="J77" i="3"/>
  <c r="K77" i="3"/>
  <c r="G78" i="3"/>
  <c r="J78" i="3"/>
  <c r="K78" i="3"/>
  <c r="G79" i="3"/>
  <c r="J79" i="3"/>
  <c r="K79" i="3"/>
  <c r="G80" i="3"/>
  <c r="J80" i="3"/>
  <c r="K80" i="3"/>
  <c r="G81" i="3"/>
  <c r="J81" i="3"/>
  <c r="K81" i="3"/>
  <c r="G82" i="3"/>
  <c r="J82" i="3"/>
  <c r="K82" i="3"/>
  <c r="G83" i="3"/>
  <c r="J83" i="3"/>
  <c r="K83" i="3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0" i="1"/>
  <c r="G50" i="1"/>
  <c r="J49" i="1"/>
  <c r="G49" i="1"/>
  <c r="K49" i="1" s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K41" i="1" s="1"/>
  <c r="J40" i="1"/>
  <c r="G40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K27" i="1" s="1"/>
  <c r="J26" i="1"/>
  <c r="G26" i="1"/>
  <c r="J25" i="1"/>
  <c r="G25" i="1"/>
  <c r="J24" i="1"/>
  <c r="G24" i="1"/>
  <c r="J23" i="1"/>
  <c r="G23" i="1"/>
  <c r="J16" i="1"/>
  <c r="G16" i="1"/>
  <c r="J15" i="1"/>
  <c r="G15" i="1"/>
  <c r="J14" i="1"/>
  <c r="G14" i="1"/>
  <c r="J13" i="1"/>
  <c r="G13" i="1"/>
  <c r="K13" i="1" s="1"/>
  <c r="J12" i="1"/>
  <c r="G12" i="1"/>
  <c r="K12" i="1" s="1"/>
  <c r="J11" i="1"/>
  <c r="G11" i="1"/>
  <c r="J10" i="1"/>
  <c r="G10" i="1"/>
  <c r="J9" i="1"/>
  <c r="G9" i="1"/>
  <c r="J8" i="1"/>
  <c r="G8" i="1"/>
  <c r="J7" i="1"/>
  <c r="G7" i="1"/>
  <c r="J6" i="1"/>
  <c r="G6" i="1"/>
  <c r="K78" i="1" l="1"/>
  <c r="K84" i="1"/>
  <c r="K85" i="1"/>
  <c r="K16" i="3"/>
  <c r="K33" i="3"/>
  <c r="K67" i="3"/>
  <c r="K50" i="3"/>
  <c r="K44" i="1"/>
  <c r="K58" i="1"/>
  <c r="K48" i="1"/>
  <c r="K40" i="1"/>
  <c r="K66" i="1"/>
  <c r="K15" i="1"/>
  <c r="K29" i="1"/>
  <c r="K57" i="1"/>
  <c r="K65" i="1"/>
  <c r="K63" i="1"/>
  <c r="K61" i="1"/>
  <c r="K64" i="1"/>
  <c r="K31" i="1"/>
  <c r="K45" i="1"/>
  <c r="K67" i="1"/>
  <c r="K62" i="1"/>
  <c r="K59" i="1"/>
  <c r="K46" i="1"/>
  <c r="K60" i="1"/>
  <c r="K47" i="1"/>
  <c r="K28" i="1"/>
  <c r="K42" i="1"/>
  <c r="K50" i="1"/>
  <c r="K43" i="1"/>
  <c r="K9" i="1"/>
  <c r="K23" i="1"/>
  <c r="K7" i="1"/>
  <c r="K14" i="1"/>
  <c r="K26" i="1"/>
  <c r="K8" i="1"/>
  <c r="K16" i="1"/>
  <c r="K24" i="1"/>
  <c r="K32" i="1"/>
  <c r="K11" i="1"/>
  <c r="K25" i="1"/>
  <c r="K33" i="1"/>
  <c r="K30" i="1"/>
  <c r="K6" i="1"/>
  <c r="K10" i="1"/>
  <c r="K68" i="1" l="1"/>
  <c r="K51" i="1"/>
  <c r="K34" i="1"/>
  <c r="K17" i="1"/>
</calcChain>
</file>

<file path=xl/sharedStrings.xml><?xml version="1.0" encoding="utf-8"?>
<sst xmlns="http://schemas.openxmlformats.org/spreadsheetml/2006/main" count="529" uniqueCount="51">
  <si>
    <t>MCC – TMB  Cables (Top Entry) - [E-A1120-21)</t>
  </si>
  <si>
    <t>Sl.No</t>
  </si>
  <si>
    <t>Cable No.</t>
  </si>
  <si>
    <t>Drawing Number</t>
  </si>
  <si>
    <t>Revision</t>
  </si>
  <si>
    <t>KW</t>
  </si>
  <si>
    <t>Core/ Sqmm</t>
  </si>
  <si>
    <t>FRLS-ZH (ATAR 
(Price / Meter)</t>
  </si>
  <si>
    <t>Top Entry</t>
  </si>
  <si>
    <t>Top Entry Cable (Price)</t>
  </si>
  <si>
    <t>Site Measurement
(mm)</t>
  </si>
  <si>
    <t>Span Length 
(mm)x1.2</t>
  </si>
  <si>
    <t>Cable
 Length (Meter)</t>
  </si>
  <si>
    <t>MT01</t>
  </si>
  <si>
    <t>JEH-M-CAB-HAR-01-07</t>
  </si>
  <si>
    <t>E</t>
  </si>
  <si>
    <t>N/A</t>
  </si>
  <si>
    <t>30*0.75</t>
  </si>
  <si>
    <t>MT02</t>
  </si>
  <si>
    <t>12*0.75</t>
  </si>
  <si>
    <t>MT03</t>
  </si>
  <si>
    <t>JEH-M-CAB-HAR-01-08</t>
  </si>
  <si>
    <t>4*1.5</t>
  </si>
  <si>
    <t>C01</t>
  </si>
  <si>
    <t>2P*0.75 + SH</t>
  </si>
  <si>
    <t>MT04</t>
  </si>
  <si>
    <t xml:space="preserve">JEH-M-CAB-HAR-01-09 </t>
  </si>
  <si>
    <t>11-15 KW</t>
  </si>
  <si>
    <t>4 X 6</t>
  </si>
  <si>
    <t>18.5 -22 KW</t>
  </si>
  <si>
    <t>4 X 10</t>
  </si>
  <si>
    <t>30 – 37 KW</t>
  </si>
  <si>
    <t>4 X 16</t>
  </si>
  <si>
    <t>E0</t>
  </si>
  <si>
    <t>JEH-M-CAB-HAR-01-19</t>
  </si>
  <si>
    <t>1 X 6</t>
  </si>
  <si>
    <t>1 X 10</t>
  </si>
  <si>
    <t>1 X 16</t>
  </si>
  <si>
    <t>E01</t>
  </si>
  <si>
    <t>JEH-M-CAB-HAR-01-23</t>
  </si>
  <si>
    <t>1 X 4</t>
  </si>
  <si>
    <t>Total</t>
  </si>
  <si>
    <t>MCC – TMB  Cables (Top Entry) - [E-A1192</t>
  </si>
  <si>
    <t>MCC – TMB  Cables (Top Entry) - [E-A1193</t>
  </si>
  <si>
    <t>MCC – TMB  Cables (Top Entry) - [E-A1194</t>
  </si>
  <si>
    <t>MCC – TMB  Cables (Top Entry) - [E-A1195</t>
  </si>
  <si>
    <t>MCC – TMB  Cables (Top Entry) - [E-A1122-23]</t>
  </si>
  <si>
    <t>MCC – TMB  Cables (Top Entry) - [E-8889,90]</t>
  </si>
  <si>
    <t>MCC – TMB  Cables (Top Entry) - [E-8861,E-8900]</t>
  </si>
  <si>
    <t>MCC – TMB  Cables (Top Entry) - [E-A1208,09]</t>
  </si>
  <si>
    <t>MCC – TMB  Cables (Top Entry) - [E-A1212]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</si>
</sst>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3"/>
      <name val="Calibri"/>
      <family val="2"/>
      <charset val="1"/>
    </font>
    <font>
      <b/>
      <sz val="10"/>
      <name val="Calibri"/>
      <family val="2"/>
      <charset val="1"/>
    </font>
    <font>
      <b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303728</xdr:colOff>
      <xdr:row>27</xdr:row>
      <xdr:rowOff>115972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8DF41-2DED-EF1A-EA86-67A1FE57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55543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19</xdr:col>
      <xdr:colOff>303728</xdr:colOff>
      <xdr:row>55</xdr:row>
      <xdr:rowOff>155116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DCF5A1-06AA-D3EA-2E6F-6E195846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19281"/>
          <a:ext cx="11955543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19</xdr:col>
      <xdr:colOff>303728</xdr:colOff>
      <xdr:row>111</xdr:row>
      <xdr:rowOff>155116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7D1DD5-41BD-BD27-E429-E5B78B17A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79555"/>
          <a:ext cx="11955543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19</xdr:col>
      <xdr:colOff>303728</xdr:colOff>
      <xdr:row>139</xdr:row>
      <xdr:rowOff>155116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E7ED63-65B6-A163-D074-FBF418708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959692"/>
          <a:ext cx="11955543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19</xdr:col>
      <xdr:colOff>303728</xdr:colOff>
      <xdr:row>167</xdr:row>
      <xdr:rowOff>155116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6277A5D-679A-634D-2AC2-3CBB33A4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439829"/>
          <a:ext cx="11955543" cy="5439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19</xdr:col>
      <xdr:colOff>303728</xdr:colOff>
      <xdr:row>195</xdr:row>
      <xdr:rowOff>155116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78FD75F-4FE8-BF0E-E00A-793B43B2C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19966"/>
          <a:ext cx="11955543" cy="543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85"/>
  <sheetViews>
    <sheetView topLeftCell="A39" zoomScale="90" zoomScaleNormal="90" workbookViewId="0">
      <selection activeCell="G57" sqref="G57"/>
    </sheetView>
  </sheetViews>
  <sheetFormatPr defaultColWidth="8.7109375" defaultRowHeight="15" x14ac:dyDescent="0.25"/>
  <cols>
    <col min="1" max="1" width="5.7109375" style="1" customWidth="1"/>
    <col min="2" max="2" width="7.28515625" style="1" customWidth="1"/>
    <col min="3" max="3" width="25.140625" style="1" customWidth="1"/>
    <col min="4" max="4" width="9" style="1" customWidth="1"/>
    <col min="5" max="5" width="13.42578125" style="1" customWidth="1"/>
    <col min="6" max="6" width="12.7109375" style="1" customWidth="1"/>
    <col min="7" max="7" width="10.85546875" style="2" customWidth="1"/>
    <col min="8" max="8" width="13.42578125" style="1" customWidth="1"/>
    <col min="9" max="9" width="13.7109375" style="1" customWidth="1"/>
    <col min="10" max="10" width="9.7109375" style="1" customWidth="1"/>
    <col min="11" max="11" width="12.140625" style="2" customWidth="1"/>
    <col min="12" max="1024" width="8.7109375" style="1"/>
  </cols>
  <sheetData>
    <row r="2" spans="1:11" ht="17.25" x14ac:dyDescent="0.25">
      <c r="A2" s="21" t="s">
        <v>46</v>
      </c>
      <c r="B2" s="21"/>
      <c r="C2" s="21"/>
      <c r="D2" s="21"/>
      <c r="E2" s="21"/>
      <c r="F2" s="21"/>
      <c r="G2" s="21"/>
      <c r="H2" s="21"/>
      <c r="I2" s="21"/>
      <c r="J2" s="21"/>
      <c r="K2" s="13"/>
    </row>
    <row r="3" spans="1:11" x14ac:dyDescent="0.25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3" t="s">
        <v>7</v>
      </c>
      <c r="H3" s="22" t="s">
        <v>8</v>
      </c>
      <c r="I3" s="22"/>
      <c r="J3" s="22"/>
      <c r="K3" s="23" t="s">
        <v>9</v>
      </c>
    </row>
    <row r="4" spans="1:11" x14ac:dyDescent="0.25">
      <c r="A4" s="22"/>
      <c r="B4" s="22"/>
      <c r="C4" s="22"/>
      <c r="D4" s="22"/>
      <c r="E4" s="22"/>
      <c r="F4" s="22"/>
      <c r="G4" s="23"/>
      <c r="H4" s="22"/>
      <c r="I4" s="22"/>
      <c r="J4" s="22"/>
      <c r="K4" s="23"/>
    </row>
    <row r="5" spans="1:11" ht="60" x14ac:dyDescent="0.25">
      <c r="A5" s="22"/>
      <c r="B5" s="22"/>
      <c r="C5" s="22"/>
      <c r="D5" s="22"/>
      <c r="E5" s="22"/>
      <c r="F5" s="22"/>
      <c r="G5" s="23"/>
      <c r="H5" s="14" t="s">
        <v>10</v>
      </c>
      <c r="I5" s="14" t="s">
        <v>11</v>
      </c>
      <c r="J5" s="14" t="s">
        <v>12</v>
      </c>
      <c r="K5" s="23"/>
    </row>
    <row r="6" spans="1:11" x14ac:dyDescent="0.25">
      <c r="A6" s="14">
        <v>1</v>
      </c>
      <c r="B6" s="14" t="s">
        <v>13</v>
      </c>
      <c r="C6" s="24" t="s">
        <v>14</v>
      </c>
      <c r="D6" s="24" t="s">
        <v>15</v>
      </c>
      <c r="E6" s="24" t="s">
        <v>16</v>
      </c>
      <c r="F6" s="14" t="s">
        <v>17</v>
      </c>
      <c r="G6" s="16">
        <f>444.72*1.18</f>
        <v>524.76959999999997</v>
      </c>
      <c r="H6" s="17">
        <v>25000</v>
      </c>
      <c r="I6" s="24" t="s">
        <v>16</v>
      </c>
      <c r="J6" s="15">
        <f t="shared" ref="J6:J15" si="0">SUM(H6)/1000</f>
        <v>25</v>
      </c>
      <c r="K6" s="16">
        <f t="shared" ref="K6:K16" si="1">SUM(G6*J6)</f>
        <v>13119.24</v>
      </c>
    </row>
    <row r="7" spans="1:11" x14ac:dyDescent="0.25">
      <c r="A7" s="14">
        <v>2</v>
      </c>
      <c r="B7" s="14" t="s">
        <v>18</v>
      </c>
      <c r="C7" s="24"/>
      <c r="D7" s="24"/>
      <c r="E7" s="24"/>
      <c r="F7" s="14" t="s">
        <v>19</v>
      </c>
      <c r="G7" s="16">
        <f>204.92*1.18</f>
        <v>241.80559999999997</v>
      </c>
      <c r="H7" s="17">
        <v>25000</v>
      </c>
      <c r="I7" s="24"/>
      <c r="J7" s="15">
        <f t="shared" si="0"/>
        <v>25</v>
      </c>
      <c r="K7" s="16">
        <f t="shared" si="1"/>
        <v>6045.1399999999994</v>
      </c>
    </row>
    <row r="8" spans="1:11" x14ac:dyDescent="0.25">
      <c r="A8" s="14">
        <v>3</v>
      </c>
      <c r="B8" s="14" t="s">
        <v>20</v>
      </c>
      <c r="C8" s="24" t="s">
        <v>21</v>
      </c>
      <c r="D8" s="24" t="s">
        <v>15</v>
      </c>
      <c r="E8" s="24" t="s">
        <v>16</v>
      </c>
      <c r="F8" s="14" t="s">
        <v>22</v>
      </c>
      <c r="G8" s="16">
        <f>116.63*1.18</f>
        <v>137.62339999999998</v>
      </c>
      <c r="H8" s="17">
        <v>25000</v>
      </c>
      <c r="I8" s="24"/>
      <c r="J8" s="15">
        <f t="shared" si="0"/>
        <v>25</v>
      </c>
      <c r="K8" s="16">
        <f t="shared" si="1"/>
        <v>3440.5849999999996</v>
      </c>
    </row>
    <row r="9" spans="1:11" x14ac:dyDescent="0.25">
      <c r="A9" s="14">
        <v>4</v>
      </c>
      <c r="B9" s="14" t="s">
        <v>23</v>
      </c>
      <c r="C9" s="24"/>
      <c r="D9" s="24"/>
      <c r="E9" s="24"/>
      <c r="F9" s="18" t="s">
        <v>24</v>
      </c>
      <c r="G9" s="16">
        <f>104.64*1.18</f>
        <v>123.4752</v>
      </c>
      <c r="H9" s="17">
        <v>25000</v>
      </c>
      <c r="I9" s="24"/>
      <c r="J9" s="15">
        <f t="shared" si="0"/>
        <v>25</v>
      </c>
      <c r="K9" s="16">
        <f t="shared" si="1"/>
        <v>3086.88</v>
      </c>
    </row>
    <row r="10" spans="1:11" x14ac:dyDescent="0.25">
      <c r="A10" s="22">
        <v>5</v>
      </c>
      <c r="B10" s="22" t="s">
        <v>25</v>
      </c>
      <c r="C10" s="24" t="s">
        <v>26</v>
      </c>
      <c r="D10" s="24" t="s">
        <v>15</v>
      </c>
      <c r="E10" s="15" t="s">
        <v>27</v>
      </c>
      <c r="F10" s="15" t="s">
        <v>28</v>
      </c>
      <c r="G10" s="16">
        <f>332.45*1.18</f>
        <v>392.29099999999994</v>
      </c>
      <c r="H10" s="17">
        <v>0</v>
      </c>
      <c r="I10" s="24"/>
      <c r="J10" s="15">
        <f t="shared" si="0"/>
        <v>0</v>
      </c>
      <c r="K10" s="16">
        <f t="shared" si="1"/>
        <v>0</v>
      </c>
    </row>
    <row r="11" spans="1:11" x14ac:dyDescent="0.25">
      <c r="A11" s="22"/>
      <c r="B11" s="22"/>
      <c r="C11" s="24"/>
      <c r="D11" s="24"/>
      <c r="E11" s="15" t="s">
        <v>29</v>
      </c>
      <c r="F11" s="15" t="s">
        <v>30</v>
      </c>
      <c r="G11" s="16">
        <f>554.81*1.18</f>
        <v>654.67579999999987</v>
      </c>
      <c r="H11" s="17">
        <v>0</v>
      </c>
      <c r="I11" s="24"/>
      <c r="J11" s="15">
        <f t="shared" si="0"/>
        <v>0</v>
      </c>
      <c r="K11" s="16">
        <f t="shared" si="1"/>
        <v>0</v>
      </c>
    </row>
    <row r="12" spans="1:11" x14ac:dyDescent="0.25">
      <c r="A12" s="22"/>
      <c r="B12" s="22"/>
      <c r="C12" s="24"/>
      <c r="D12" s="24" t="s">
        <v>15</v>
      </c>
      <c r="E12" s="15" t="s">
        <v>31</v>
      </c>
      <c r="F12" s="15" t="s">
        <v>32</v>
      </c>
      <c r="G12" s="16">
        <f>834.94*1.18</f>
        <v>985.22919999999999</v>
      </c>
      <c r="H12" s="17">
        <v>25000</v>
      </c>
      <c r="I12" s="24"/>
      <c r="J12" s="15">
        <f t="shared" si="0"/>
        <v>25</v>
      </c>
      <c r="K12" s="16">
        <f t="shared" si="1"/>
        <v>24630.73</v>
      </c>
    </row>
    <row r="13" spans="1:11" x14ac:dyDescent="0.25">
      <c r="A13" s="22">
        <v>6</v>
      </c>
      <c r="B13" s="22" t="s">
        <v>33</v>
      </c>
      <c r="C13" s="24" t="s">
        <v>34</v>
      </c>
      <c r="D13" s="24"/>
      <c r="E13" s="15" t="s">
        <v>27</v>
      </c>
      <c r="F13" s="15" t="s">
        <v>35</v>
      </c>
      <c r="G13" s="16">
        <f>76.3*1.18</f>
        <v>90.033999999999992</v>
      </c>
      <c r="H13" s="17">
        <v>0</v>
      </c>
      <c r="I13" s="24"/>
      <c r="J13" s="15">
        <f t="shared" si="0"/>
        <v>0</v>
      </c>
      <c r="K13" s="16">
        <f t="shared" si="1"/>
        <v>0</v>
      </c>
    </row>
    <row r="14" spans="1:11" x14ac:dyDescent="0.25">
      <c r="A14" s="22">
        <v>7</v>
      </c>
      <c r="B14" s="22"/>
      <c r="C14" s="24"/>
      <c r="D14" s="24" t="s">
        <v>15</v>
      </c>
      <c r="E14" s="15" t="s">
        <v>29</v>
      </c>
      <c r="F14" s="15" t="s">
        <v>36</v>
      </c>
      <c r="G14" s="16">
        <f>134.07*1.18</f>
        <v>158.20259999999999</v>
      </c>
      <c r="H14" s="17">
        <v>0</v>
      </c>
      <c r="I14" s="24"/>
      <c r="J14" s="15">
        <f t="shared" si="0"/>
        <v>0</v>
      </c>
      <c r="K14" s="16">
        <f t="shared" si="1"/>
        <v>0</v>
      </c>
    </row>
    <row r="15" spans="1:11" x14ac:dyDescent="0.25">
      <c r="A15" s="22">
        <v>8</v>
      </c>
      <c r="B15" s="22"/>
      <c r="C15" s="24"/>
      <c r="D15" s="24"/>
      <c r="E15" s="15" t="s">
        <v>31</v>
      </c>
      <c r="F15" s="15" t="s">
        <v>37</v>
      </c>
      <c r="G15" s="16">
        <f>203.83*1.18</f>
        <v>240.51939999999999</v>
      </c>
      <c r="H15" s="17">
        <v>25000</v>
      </c>
      <c r="I15" s="24"/>
      <c r="J15" s="15">
        <f t="shared" si="0"/>
        <v>25</v>
      </c>
      <c r="K15" s="16">
        <f t="shared" si="1"/>
        <v>6012.9849999999997</v>
      </c>
    </row>
    <row r="16" spans="1:11" x14ac:dyDescent="0.25">
      <c r="A16" s="14">
        <v>7</v>
      </c>
      <c r="B16" s="15" t="s">
        <v>38</v>
      </c>
      <c r="C16" s="15" t="s">
        <v>39</v>
      </c>
      <c r="D16" s="15" t="s">
        <v>15</v>
      </c>
      <c r="E16" s="15"/>
      <c r="F16" s="15" t="s">
        <v>40</v>
      </c>
      <c r="G16" s="16">
        <f>54.5*1.18</f>
        <v>64.31</v>
      </c>
      <c r="H16" s="14" t="s">
        <v>16</v>
      </c>
      <c r="I16" s="19">
        <v>28923</v>
      </c>
      <c r="J16" s="16">
        <f>SUM(I16*1.2)/1000</f>
        <v>34.707599999999999</v>
      </c>
      <c r="K16" s="16">
        <f t="shared" si="1"/>
        <v>2232.045756</v>
      </c>
    </row>
    <row r="17" spans="1:11" ht="15.75" x14ac:dyDescent="0.25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0">
        <f>SUM(K6:K16)</f>
        <v>58567.605755999997</v>
      </c>
    </row>
    <row r="19" spans="1:11" ht="17.25" x14ac:dyDescent="0.25">
      <c r="A19" s="21" t="s">
        <v>47</v>
      </c>
      <c r="B19" s="21"/>
      <c r="C19" s="21"/>
      <c r="D19" s="21"/>
      <c r="E19" s="21"/>
      <c r="F19" s="21"/>
      <c r="G19" s="21"/>
      <c r="H19" s="21"/>
      <c r="I19" s="21"/>
      <c r="J19" s="21"/>
      <c r="K19" s="13"/>
    </row>
    <row r="20" spans="1:11" x14ac:dyDescent="0.25">
      <c r="A20" s="22" t="s">
        <v>1</v>
      </c>
      <c r="B20" s="22" t="s">
        <v>2</v>
      </c>
      <c r="C20" s="22" t="s">
        <v>3</v>
      </c>
      <c r="D20" s="22" t="s">
        <v>4</v>
      </c>
      <c r="E20" s="22" t="s">
        <v>5</v>
      </c>
      <c r="F20" s="22" t="s">
        <v>6</v>
      </c>
      <c r="G20" s="23" t="s">
        <v>7</v>
      </c>
      <c r="H20" s="22" t="s">
        <v>8</v>
      </c>
      <c r="I20" s="22"/>
      <c r="J20" s="22"/>
      <c r="K20" s="23" t="s">
        <v>9</v>
      </c>
    </row>
    <row r="21" spans="1:11" x14ac:dyDescent="0.25">
      <c r="A21" s="22"/>
      <c r="B21" s="22"/>
      <c r="C21" s="22"/>
      <c r="D21" s="22"/>
      <c r="E21" s="22"/>
      <c r="F21" s="22"/>
      <c r="G21" s="23"/>
      <c r="H21" s="22"/>
      <c r="I21" s="22"/>
      <c r="J21" s="22"/>
      <c r="K21" s="23"/>
    </row>
    <row r="22" spans="1:11" ht="60" x14ac:dyDescent="0.25">
      <c r="A22" s="22"/>
      <c r="B22" s="22"/>
      <c r="C22" s="22"/>
      <c r="D22" s="22"/>
      <c r="E22" s="22"/>
      <c r="F22" s="22"/>
      <c r="G22" s="23"/>
      <c r="H22" s="14" t="s">
        <v>10</v>
      </c>
      <c r="I22" s="14" t="s">
        <v>11</v>
      </c>
      <c r="J22" s="14" t="s">
        <v>12</v>
      </c>
      <c r="K22" s="23"/>
    </row>
    <row r="23" spans="1:11" x14ac:dyDescent="0.25">
      <c r="A23" s="14">
        <v>1</v>
      </c>
      <c r="B23" s="14" t="s">
        <v>13</v>
      </c>
      <c r="C23" s="24" t="s">
        <v>14</v>
      </c>
      <c r="D23" s="24" t="s">
        <v>15</v>
      </c>
      <c r="E23" s="24" t="s">
        <v>16</v>
      </c>
      <c r="F23" s="14" t="s">
        <v>17</v>
      </c>
      <c r="G23" s="16">
        <f>444.72*1.18</f>
        <v>524.76959999999997</v>
      </c>
      <c r="H23" s="17">
        <v>25000</v>
      </c>
      <c r="I23" s="24" t="s">
        <v>16</v>
      </c>
      <c r="J23" s="15">
        <f t="shared" ref="J23:J32" si="2">SUM(H23)/1000</f>
        <v>25</v>
      </c>
      <c r="K23" s="16">
        <f t="shared" ref="K23:K33" si="3">SUM(G23*J23)</f>
        <v>13119.24</v>
      </c>
    </row>
    <row r="24" spans="1:11" x14ac:dyDescent="0.25">
      <c r="A24" s="14">
        <v>2</v>
      </c>
      <c r="B24" s="14" t="s">
        <v>18</v>
      </c>
      <c r="C24" s="24"/>
      <c r="D24" s="24"/>
      <c r="E24" s="24"/>
      <c r="F24" s="14" t="s">
        <v>19</v>
      </c>
      <c r="G24" s="16">
        <f>204.92*1.18</f>
        <v>241.80559999999997</v>
      </c>
      <c r="H24" s="17">
        <v>25000</v>
      </c>
      <c r="I24" s="24"/>
      <c r="J24" s="15">
        <f t="shared" si="2"/>
        <v>25</v>
      </c>
      <c r="K24" s="16">
        <f t="shared" si="3"/>
        <v>6045.1399999999994</v>
      </c>
    </row>
    <row r="25" spans="1:11" x14ac:dyDescent="0.25">
      <c r="A25" s="14">
        <v>3</v>
      </c>
      <c r="B25" s="14" t="s">
        <v>20</v>
      </c>
      <c r="C25" s="24" t="s">
        <v>21</v>
      </c>
      <c r="D25" s="24" t="s">
        <v>15</v>
      </c>
      <c r="E25" s="24" t="s">
        <v>16</v>
      </c>
      <c r="F25" s="14" t="s">
        <v>22</v>
      </c>
      <c r="G25" s="16">
        <f>116.63*1.18</f>
        <v>137.62339999999998</v>
      </c>
      <c r="H25" s="17">
        <v>25000</v>
      </c>
      <c r="I25" s="24"/>
      <c r="J25" s="15">
        <f t="shared" si="2"/>
        <v>25</v>
      </c>
      <c r="K25" s="16">
        <f t="shared" si="3"/>
        <v>3440.5849999999996</v>
      </c>
    </row>
    <row r="26" spans="1:11" x14ac:dyDescent="0.25">
      <c r="A26" s="14">
        <v>4</v>
      </c>
      <c r="B26" s="14" t="s">
        <v>23</v>
      </c>
      <c r="C26" s="24"/>
      <c r="D26" s="24"/>
      <c r="E26" s="24"/>
      <c r="F26" s="18" t="s">
        <v>24</v>
      </c>
      <c r="G26" s="16">
        <f>104.64*1.18</f>
        <v>123.4752</v>
      </c>
      <c r="H26" s="17">
        <v>25000</v>
      </c>
      <c r="I26" s="24"/>
      <c r="J26" s="15">
        <f t="shared" si="2"/>
        <v>25</v>
      </c>
      <c r="K26" s="16">
        <f t="shared" si="3"/>
        <v>3086.88</v>
      </c>
    </row>
    <row r="27" spans="1:11" x14ac:dyDescent="0.25">
      <c r="A27" s="22">
        <v>5</v>
      </c>
      <c r="B27" s="22" t="s">
        <v>25</v>
      </c>
      <c r="C27" s="24" t="s">
        <v>26</v>
      </c>
      <c r="D27" s="24" t="s">
        <v>15</v>
      </c>
      <c r="E27" s="15" t="s">
        <v>27</v>
      </c>
      <c r="F27" s="15" t="s">
        <v>28</v>
      </c>
      <c r="G27" s="16">
        <f>332.45*1.18</f>
        <v>392.29099999999994</v>
      </c>
      <c r="H27" s="17">
        <v>0</v>
      </c>
      <c r="I27" s="24"/>
      <c r="J27" s="15">
        <f t="shared" si="2"/>
        <v>0</v>
      </c>
      <c r="K27" s="16">
        <f t="shared" si="3"/>
        <v>0</v>
      </c>
    </row>
    <row r="28" spans="1:11" x14ac:dyDescent="0.25">
      <c r="A28" s="22"/>
      <c r="B28" s="22"/>
      <c r="C28" s="24"/>
      <c r="D28" s="24"/>
      <c r="E28" s="15" t="s">
        <v>29</v>
      </c>
      <c r="F28" s="15" t="s">
        <v>30</v>
      </c>
      <c r="G28" s="16">
        <f>554.81*1.18</f>
        <v>654.67579999999987</v>
      </c>
      <c r="H28" s="17">
        <v>25000</v>
      </c>
      <c r="I28" s="24"/>
      <c r="J28" s="15">
        <f t="shared" si="2"/>
        <v>25</v>
      </c>
      <c r="K28" s="16">
        <f t="shared" si="3"/>
        <v>16366.894999999997</v>
      </c>
    </row>
    <row r="29" spans="1:11" x14ac:dyDescent="0.25">
      <c r="A29" s="22"/>
      <c r="B29" s="22"/>
      <c r="C29" s="24"/>
      <c r="D29" s="24" t="s">
        <v>15</v>
      </c>
      <c r="E29" s="15" t="s">
        <v>31</v>
      </c>
      <c r="F29" s="15" t="s">
        <v>32</v>
      </c>
      <c r="G29" s="16">
        <f>834.94*1.18</f>
        <v>985.22919999999999</v>
      </c>
      <c r="H29" s="17">
        <v>0</v>
      </c>
      <c r="I29" s="24"/>
      <c r="J29" s="15">
        <f t="shared" si="2"/>
        <v>0</v>
      </c>
      <c r="K29" s="16">
        <f t="shared" si="3"/>
        <v>0</v>
      </c>
    </row>
    <row r="30" spans="1:11" x14ac:dyDescent="0.25">
      <c r="A30" s="22">
        <v>6</v>
      </c>
      <c r="B30" s="22" t="s">
        <v>33</v>
      </c>
      <c r="C30" s="24" t="s">
        <v>34</v>
      </c>
      <c r="D30" s="24"/>
      <c r="E30" s="15" t="s">
        <v>27</v>
      </c>
      <c r="F30" s="15" t="s">
        <v>35</v>
      </c>
      <c r="G30" s="16">
        <f>76.3*1.18</f>
        <v>90.033999999999992</v>
      </c>
      <c r="H30" s="17">
        <v>0</v>
      </c>
      <c r="I30" s="24"/>
      <c r="J30" s="15">
        <f t="shared" si="2"/>
        <v>0</v>
      </c>
      <c r="K30" s="16">
        <f t="shared" si="3"/>
        <v>0</v>
      </c>
    </row>
    <row r="31" spans="1:11" x14ac:dyDescent="0.25">
      <c r="A31" s="22">
        <v>7</v>
      </c>
      <c r="B31" s="22"/>
      <c r="C31" s="24"/>
      <c r="D31" s="24" t="s">
        <v>15</v>
      </c>
      <c r="E31" s="15" t="s">
        <v>29</v>
      </c>
      <c r="F31" s="15" t="s">
        <v>36</v>
      </c>
      <c r="G31" s="16">
        <f>134.07*1.18</f>
        <v>158.20259999999999</v>
      </c>
      <c r="H31" s="17">
        <v>25000</v>
      </c>
      <c r="I31" s="24"/>
      <c r="J31" s="15">
        <f t="shared" si="2"/>
        <v>25</v>
      </c>
      <c r="K31" s="16">
        <f t="shared" si="3"/>
        <v>3955.0649999999996</v>
      </c>
    </row>
    <row r="32" spans="1:11" x14ac:dyDescent="0.25">
      <c r="A32" s="22">
        <v>8</v>
      </c>
      <c r="B32" s="22"/>
      <c r="C32" s="24"/>
      <c r="D32" s="24"/>
      <c r="E32" s="15" t="s">
        <v>31</v>
      </c>
      <c r="F32" s="15" t="s">
        <v>37</v>
      </c>
      <c r="G32" s="16">
        <f>203.83*1.18</f>
        <v>240.51939999999999</v>
      </c>
      <c r="H32" s="17">
        <v>0</v>
      </c>
      <c r="I32" s="24"/>
      <c r="J32" s="15">
        <f t="shared" si="2"/>
        <v>0</v>
      </c>
      <c r="K32" s="16">
        <f t="shared" si="3"/>
        <v>0</v>
      </c>
    </row>
    <row r="33" spans="1:11" x14ac:dyDescent="0.25">
      <c r="A33" s="14">
        <v>7</v>
      </c>
      <c r="B33" s="15" t="s">
        <v>38</v>
      </c>
      <c r="C33" s="15" t="s">
        <v>39</v>
      </c>
      <c r="D33" s="15" t="s">
        <v>15</v>
      </c>
      <c r="E33" s="15"/>
      <c r="F33" s="15" t="s">
        <v>40</v>
      </c>
      <c r="G33" s="16">
        <f>54.5*1.18</f>
        <v>64.31</v>
      </c>
      <c r="H33" s="14" t="s">
        <v>16</v>
      </c>
      <c r="I33" s="19">
        <v>18634</v>
      </c>
      <c r="J33" s="16">
        <f>SUM(I33*1.2)/1000</f>
        <v>22.360799999999998</v>
      </c>
      <c r="K33" s="16">
        <f t="shared" si="3"/>
        <v>1438.0230479999998</v>
      </c>
    </row>
    <row r="34" spans="1:11" ht="15.75" x14ac:dyDescent="0.25">
      <c r="A34" s="25" t="s">
        <v>41</v>
      </c>
      <c r="B34" s="25"/>
      <c r="C34" s="25"/>
      <c r="D34" s="25"/>
      <c r="E34" s="25"/>
      <c r="F34" s="25"/>
      <c r="G34" s="25"/>
      <c r="H34" s="25"/>
      <c r="I34" s="25"/>
      <c r="J34" s="25"/>
      <c r="K34" s="20">
        <f>SUM(K23:K33)</f>
        <v>47451.828047999996</v>
      </c>
    </row>
    <row r="36" spans="1:11" ht="17.25" x14ac:dyDescent="0.25">
      <c r="A36" s="21" t="s">
        <v>48</v>
      </c>
      <c r="B36" s="21"/>
      <c r="C36" s="21"/>
      <c r="D36" s="21"/>
      <c r="E36" s="21"/>
      <c r="F36" s="21"/>
      <c r="G36" s="21"/>
      <c r="H36" s="21"/>
      <c r="I36" s="21"/>
      <c r="J36" s="21"/>
      <c r="K36" s="13"/>
    </row>
    <row r="37" spans="1:11" x14ac:dyDescent="0.25">
      <c r="A37" s="22" t="s">
        <v>1</v>
      </c>
      <c r="B37" s="22" t="s">
        <v>2</v>
      </c>
      <c r="C37" s="22" t="s">
        <v>3</v>
      </c>
      <c r="D37" s="22" t="s">
        <v>4</v>
      </c>
      <c r="E37" s="22" t="s">
        <v>5</v>
      </c>
      <c r="F37" s="22" t="s">
        <v>6</v>
      </c>
      <c r="G37" s="23" t="s">
        <v>7</v>
      </c>
      <c r="H37" s="22" t="s">
        <v>8</v>
      </c>
      <c r="I37" s="22"/>
      <c r="J37" s="22"/>
      <c r="K37" s="23" t="s">
        <v>9</v>
      </c>
    </row>
    <row r="38" spans="1:11" x14ac:dyDescent="0.25">
      <c r="A38" s="22"/>
      <c r="B38" s="22"/>
      <c r="C38" s="22"/>
      <c r="D38" s="22"/>
      <c r="E38" s="22"/>
      <c r="F38" s="22"/>
      <c r="G38" s="23"/>
      <c r="H38" s="22"/>
      <c r="I38" s="22"/>
      <c r="J38" s="22"/>
      <c r="K38" s="23"/>
    </row>
    <row r="39" spans="1:11" ht="60" x14ac:dyDescent="0.25">
      <c r="A39" s="22"/>
      <c r="B39" s="22"/>
      <c r="C39" s="22"/>
      <c r="D39" s="22"/>
      <c r="E39" s="22"/>
      <c r="F39" s="22"/>
      <c r="G39" s="23"/>
      <c r="H39" s="14" t="s">
        <v>10</v>
      </c>
      <c r="I39" s="14" t="s">
        <v>11</v>
      </c>
      <c r="J39" s="14" t="s">
        <v>12</v>
      </c>
      <c r="K39" s="23"/>
    </row>
    <row r="40" spans="1:11" x14ac:dyDescent="0.25">
      <c r="A40" s="14">
        <v>1</v>
      </c>
      <c r="B40" s="14" t="s">
        <v>13</v>
      </c>
      <c r="C40" s="24" t="s">
        <v>14</v>
      </c>
      <c r="D40" s="24" t="s">
        <v>15</v>
      </c>
      <c r="E40" s="24" t="s">
        <v>16</v>
      </c>
      <c r="F40" s="14" t="s">
        <v>17</v>
      </c>
      <c r="G40" s="16">
        <f>444.72*1.18</f>
        <v>524.76959999999997</v>
      </c>
      <c r="H40" s="17">
        <v>25000</v>
      </c>
      <c r="I40" s="24" t="s">
        <v>16</v>
      </c>
      <c r="J40" s="15">
        <f t="shared" ref="J40:J49" si="4">SUM(H40)/1000</f>
        <v>25</v>
      </c>
      <c r="K40" s="16">
        <f t="shared" ref="K40:K50" si="5">SUM(G40*J40)</f>
        <v>13119.24</v>
      </c>
    </row>
    <row r="41" spans="1:11" x14ac:dyDescent="0.25">
      <c r="A41" s="14">
        <v>2</v>
      </c>
      <c r="B41" s="14" t="s">
        <v>18</v>
      </c>
      <c r="C41" s="24"/>
      <c r="D41" s="24"/>
      <c r="E41" s="24"/>
      <c r="F41" s="14" t="s">
        <v>19</v>
      </c>
      <c r="G41" s="16">
        <f>204.92*1.18</f>
        <v>241.80559999999997</v>
      </c>
      <c r="H41" s="17">
        <v>25000</v>
      </c>
      <c r="I41" s="24"/>
      <c r="J41" s="15">
        <f t="shared" si="4"/>
        <v>25</v>
      </c>
      <c r="K41" s="16">
        <f t="shared" si="5"/>
        <v>6045.1399999999994</v>
      </c>
    </row>
    <row r="42" spans="1:11" x14ac:dyDescent="0.25">
      <c r="A42" s="14">
        <v>3</v>
      </c>
      <c r="B42" s="14" t="s">
        <v>20</v>
      </c>
      <c r="C42" s="24" t="s">
        <v>21</v>
      </c>
      <c r="D42" s="24" t="s">
        <v>15</v>
      </c>
      <c r="E42" s="24" t="s">
        <v>16</v>
      </c>
      <c r="F42" s="14" t="s">
        <v>22</v>
      </c>
      <c r="G42" s="16">
        <f>116.63*1.18</f>
        <v>137.62339999999998</v>
      </c>
      <c r="H42" s="17">
        <v>25000</v>
      </c>
      <c r="I42" s="24"/>
      <c r="J42" s="15">
        <f t="shared" si="4"/>
        <v>25</v>
      </c>
      <c r="K42" s="16">
        <f t="shared" si="5"/>
        <v>3440.5849999999996</v>
      </c>
    </row>
    <row r="43" spans="1:11" x14ac:dyDescent="0.25">
      <c r="A43" s="14">
        <v>4</v>
      </c>
      <c r="B43" s="14" t="s">
        <v>23</v>
      </c>
      <c r="C43" s="24"/>
      <c r="D43" s="24"/>
      <c r="E43" s="24"/>
      <c r="F43" s="18" t="s">
        <v>24</v>
      </c>
      <c r="G43" s="16">
        <f>104.64*1.18</f>
        <v>123.4752</v>
      </c>
      <c r="H43" s="17">
        <v>25000</v>
      </c>
      <c r="I43" s="24"/>
      <c r="J43" s="15">
        <f t="shared" si="4"/>
        <v>25</v>
      </c>
      <c r="K43" s="16">
        <f t="shared" si="5"/>
        <v>3086.88</v>
      </c>
    </row>
    <row r="44" spans="1:11" x14ac:dyDescent="0.25">
      <c r="A44" s="22">
        <v>5</v>
      </c>
      <c r="B44" s="22" t="s">
        <v>25</v>
      </c>
      <c r="C44" s="24" t="s">
        <v>26</v>
      </c>
      <c r="D44" s="24" t="s">
        <v>15</v>
      </c>
      <c r="E44" s="15" t="s">
        <v>27</v>
      </c>
      <c r="F44" s="15" t="s">
        <v>28</v>
      </c>
      <c r="G44" s="16">
        <f>332.45*1.18</f>
        <v>392.29099999999994</v>
      </c>
      <c r="H44" s="17">
        <v>0</v>
      </c>
      <c r="I44" s="24"/>
      <c r="J44" s="15">
        <f t="shared" si="4"/>
        <v>0</v>
      </c>
      <c r="K44" s="16">
        <f t="shared" si="5"/>
        <v>0</v>
      </c>
    </row>
    <row r="45" spans="1:11" x14ac:dyDescent="0.25">
      <c r="A45" s="22"/>
      <c r="B45" s="22"/>
      <c r="C45" s="24"/>
      <c r="D45" s="24"/>
      <c r="E45" s="15" t="s">
        <v>29</v>
      </c>
      <c r="F45" s="15" t="s">
        <v>30</v>
      </c>
      <c r="G45" s="16">
        <f>554.81*1.18</f>
        <v>654.67579999999987</v>
      </c>
      <c r="H45" s="17">
        <v>25000</v>
      </c>
      <c r="I45" s="24"/>
      <c r="J45" s="15">
        <f t="shared" si="4"/>
        <v>25</v>
      </c>
      <c r="K45" s="16">
        <f t="shared" si="5"/>
        <v>16366.894999999997</v>
      </c>
    </row>
    <row r="46" spans="1:11" x14ac:dyDescent="0.25">
      <c r="A46" s="22"/>
      <c r="B46" s="22"/>
      <c r="C46" s="24"/>
      <c r="D46" s="24" t="s">
        <v>15</v>
      </c>
      <c r="E46" s="15" t="s">
        <v>31</v>
      </c>
      <c r="F46" s="15" t="s">
        <v>32</v>
      </c>
      <c r="G46" s="16">
        <f>834.94*1.18</f>
        <v>985.22919999999999</v>
      </c>
      <c r="H46" s="17">
        <v>0</v>
      </c>
      <c r="I46" s="24"/>
      <c r="J46" s="15">
        <f t="shared" si="4"/>
        <v>0</v>
      </c>
      <c r="K46" s="16">
        <f t="shared" si="5"/>
        <v>0</v>
      </c>
    </row>
    <row r="47" spans="1:11" x14ac:dyDescent="0.25">
      <c r="A47" s="22">
        <v>6</v>
      </c>
      <c r="B47" s="22" t="s">
        <v>33</v>
      </c>
      <c r="C47" s="24" t="s">
        <v>34</v>
      </c>
      <c r="D47" s="24"/>
      <c r="E47" s="15" t="s">
        <v>27</v>
      </c>
      <c r="F47" s="15" t="s">
        <v>35</v>
      </c>
      <c r="G47" s="16">
        <f>76.3*1.18</f>
        <v>90.033999999999992</v>
      </c>
      <c r="H47" s="17">
        <v>0</v>
      </c>
      <c r="I47" s="24"/>
      <c r="J47" s="15">
        <f t="shared" si="4"/>
        <v>0</v>
      </c>
      <c r="K47" s="16">
        <f t="shared" si="5"/>
        <v>0</v>
      </c>
    </row>
    <row r="48" spans="1:11" x14ac:dyDescent="0.25">
      <c r="A48" s="22">
        <v>7</v>
      </c>
      <c r="B48" s="22"/>
      <c r="C48" s="24"/>
      <c r="D48" s="24" t="s">
        <v>15</v>
      </c>
      <c r="E48" s="15" t="s">
        <v>29</v>
      </c>
      <c r="F48" s="15" t="s">
        <v>36</v>
      </c>
      <c r="G48" s="16">
        <f>134.07*1.18</f>
        <v>158.20259999999999</v>
      </c>
      <c r="H48" s="17">
        <v>25000</v>
      </c>
      <c r="I48" s="24"/>
      <c r="J48" s="15">
        <f t="shared" si="4"/>
        <v>25</v>
      </c>
      <c r="K48" s="16">
        <f t="shared" si="5"/>
        <v>3955.0649999999996</v>
      </c>
    </row>
    <row r="49" spans="1:11" x14ac:dyDescent="0.25">
      <c r="A49" s="22">
        <v>8</v>
      </c>
      <c r="B49" s="22"/>
      <c r="C49" s="24"/>
      <c r="D49" s="24"/>
      <c r="E49" s="15" t="s">
        <v>31</v>
      </c>
      <c r="F49" s="15" t="s">
        <v>37</v>
      </c>
      <c r="G49" s="16">
        <f>203.83*1.18</f>
        <v>240.51939999999999</v>
      </c>
      <c r="H49" s="17">
        <v>0</v>
      </c>
      <c r="I49" s="24"/>
      <c r="J49" s="15">
        <f t="shared" si="4"/>
        <v>0</v>
      </c>
      <c r="K49" s="16">
        <f t="shared" si="5"/>
        <v>0</v>
      </c>
    </row>
    <row r="50" spans="1:11" x14ac:dyDescent="0.25">
      <c r="A50" s="14">
        <v>7</v>
      </c>
      <c r="B50" s="15" t="s">
        <v>38</v>
      </c>
      <c r="C50" s="15" t="s">
        <v>39</v>
      </c>
      <c r="D50" s="15" t="s">
        <v>15</v>
      </c>
      <c r="E50" s="15"/>
      <c r="F50" s="15" t="s">
        <v>40</v>
      </c>
      <c r="G50" s="16">
        <f>54.5*1.18</f>
        <v>64.31</v>
      </c>
      <c r="H50" s="14" t="s">
        <v>16</v>
      </c>
      <c r="I50" s="19">
        <v>18565</v>
      </c>
      <c r="J50" s="16">
        <f>SUM(I50*1.2)/1000</f>
        <v>22.277999999999999</v>
      </c>
      <c r="K50" s="16">
        <f t="shared" si="5"/>
        <v>1432.6981799999999</v>
      </c>
    </row>
    <row r="51" spans="1:11" ht="15.75" x14ac:dyDescent="0.25">
      <c r="A51" s="25" t="s">
        <v>41</v>
      </c>
      <c r="B51" s="25"/>
      <c r="C51" s="25"/>
      <c r="D51" s="25"/>
      <c r="E51" s="25"/>
      <c r="F51" s="25"/>
      <c r="G51" s="25"/>
      <c r="H51" s="25"/>
      <c r="I51" s="25"/>
      <c r="J51" s="25"/>
      <c r="K51" s="20">
        <f>SUM(K40:K50)</f>
        <v>47446.503179999992</v>
      </c>
    </row>
    <row r="53" spans="1:11" ht="17.25" x14ac:dyDescent="0.25">
      <c r="A53" s="21" t="s">
        <v>49</v>
      </c>
      <c r="B53" s="21"/>
      <c r="C53" s="21"/>
      <c r="D53" s="21"/>
      <c r="E53" s="21"/>
      <c r="F53" s="21"/>
      <c r="G53" s="21"/>
      <c r="H53" s="21"/>
      <c r="I53" s="21"/>
      <c r="J53" s="21"/>
      <c r="K53" s="13"/>
    </row>
    <row r="54" spans="1:11" x14ac:dyDescent="0.25">
      <c r="A54" s="22" t="s">
        <v>1</v>
      </c>
      <c r="B54" s="22" t="s">
        <v>2</v>
      </c>
      <c r="C54" s="22" t="s">
        <v>3</v>
      </c>
      <c r="D54" s="22" t="s">
        <v>4</v>
      </c>
      <c r="E54" s="22" t="s">
        <v>5</v>
      </c>
      <c r="F54" s="22" t="s">
        <v>6</v>
      </c>
      <c r="G54" s="23" t="s">
        <v>7</v>
      </c>
      <c r="H54" s="22" t="s">
        <v>8</v>
      </c>
      <c r="I54" s="22"/>
      <c r="J54" s="22"/>
      <c r="K54" s="23" t="s">
        <v>9</v>
      </c>
    </row>
    <row r="55" spans="1:11" x14ac:dyDescent="0.25">
      <c r="A55" s="22"/>
      <c r="B55" s="22"/>
      <c r="C55" s="22"/>
      <c r="D55" s="22"/>
      <c r="E55" s="22"/>
      <c r="F55" s="22"/>
      <c r="G55" s="23"/>
      <c r="H55" s="22"/>
      <c r="I55" s="22"/>
      <c r="J55" s="22"/>
      <c r="K55" s="23"/>
    </row>
    <row r="56" spans="1:11" ht="60" x14ac:dyDescent="0.25">
      <c r="A56" s="22"/>
      <c r="B56" s="22"/>
      <c r="C56" s="22"/>
      <c r="D56" s="22"/>
      <c r="E56" s="22"/>
      <c r="F56" s="22"/>
      <c r="G56" s="23"/>
      <c r="H56" s="14" t="s">
        <v>10</v>
      </c>
      <c r="I56" s="14" t="s">
        <v>11</v>
      </c>
      <c r="J56" s="14" t="s">
        <v>12</v>
      </c>
      <c r="K56" s="23"/>
    </row>
    <row r="57" spans="1:11" x14ac:dyDescent="0.25">
      <c r="A57" s="14">
        <v>1</v>
      </c>
      <c r="B57" s="14" t="s">
        <v>13</v>
      </c>
      <c r="C57" s="24" t="s">
        <v>14</v>
      </c>
      <c r="D57" s="24" t="s">
        <v>15</v>
      </c>
      <c r="E57" s="24" t="s">
        <v>16</v>
      </c>
      <c r="F57" s="14" t="s">
        <v>17</v>
      </c>
      <c r="G57" s="16">
        <f>444.72*1.18</f>
        <v>524.76959999999997</v>
      </c>
      <c r="H57" s="17">
        <v>15000</v>
      </c>
      <c r="I57" s="24" t="s">
        <v>16</v>
      </c>
      <c r="J57" s="15">
        <f t="shared" ref="J57:J66" si="6">SUM(H57)/1000</f>
        <v>15</v>
      </c>
      <c r="K57" s="16">
        <f t="shared" ref="K57:K67" si="7">SUM(G57*J57)</f>
        <v>7871.5439999999999</v>
      </c>
    </row>
    <row r="58" spans="1:11" x14ac:dyDescent="0.25">
      <c r="A58" s="14">
        <v>2</v>
      </c>
      <c r="B58" s="14" t="s">
        <v>18</v>
      </c>
      <c r="C58" s="24"/>
      <c r="D58" s="24"/>
      <c r="E58" s="24"/>
      <c r="F58" s="14" t="s">
        <v>19</v>
      </c>
      <c r="G58" s="16">
        <f>204.92*1.18</f>
        <v>241.80559999999997</v>
      </c>
      <c r="H58" s="17">
        <v>15000</v>
      </c>
      <c r="I58" s="24"/>
      <c r="J58" s="15">
        <f t="shared" si="6"/>
        <v>15</v>
      </c>
      <c r="K58" s="16">
        <f t="shared" si="7"/>
        <v>3627.0839999999994</v>
      </c>
    </row>
    <row r="59" spans="1:11" x14ac:dyDescent="0.25">
      <c r="A59" s="14">
        <v>3</v>
      </c>
      <c r="B59" s="14" t="s">
        <v>20</v>
      </c>
      <c r="C59" s="24" t="s">
        <v>21</v>
      </c>
      <c r="D59" s="24" t="s">
        <v>15</v>
      </c>
      <c r="E59" s="24" t="s">
        <v>16</v>
      </c>
      <c r="F59" s="14" t="s">
        <v>22</v>
      </c>
      <c r="G59" s="16">
        <f>116.63*1.18</f>
        <v>137.62339999999998</v>
      </c>
      <c r="H59" s="17">
        <v>15000</v>
      </c>
      <c r="I59" s="24"/>
      <c r="J59" s="15">
        <f t="shared" si="6"/>
        <v>15</v>
      </c>
      <c r="K59" s="16">
        <f t="shared" si="7"/>
        <v>2064.3509999999997</v>
      </c>
    </row>
    <row r="60" spans="1:11" x14ac:dyDescent="0.25">
      <c r="A60" s="14">
        <v>4</v>
      </c>
      <c r="B60" s="14" t="s">
        <v>23</v>
      </c>
      <c r="C60" s="24"/>
      <c r="D60" s="24"/>
      <c r="E60" s="24"/>
      <c r="F60" s="18" t="s">
        <v>24</v>
      </c>
      <c r="G60" s="16">
        <f>104.64*1.18</f>
        <v>123.4752</v>
      </c>
      <c r="H60" s="17">
        <v>15000</v>
      </c>
      <c r="I60" s="24"/>
      <c r="J60" s="15">
        <f t="shared" si="6"/>
        <v>15</v>
      </c>
      <c r="K60" s="16">
        <f t="shared" si="7"/>
        <v>1852.1279999999999</v>
      </c>
    </row>
    <row r="61" spans="1:11" x14ac:dyDescent="0.25">
      <c r="A61" s="22">
        <v>5</v>
      </c>
      <c r="B61" s="22" t="s">
        <v>25</v>
      </c>
      <c r="C61" s="24" t="s">
        <v>26</v>
      </c>
      <c r="D61" s="24" t="s">
        <v>15</v>
      </c>
      <c r="E61" s="15" t="s">
        <v>27</v>
      </c>
      <c r="F61" s="15" t="s">
        <v>28</v>
      </c>
      <c r="G61" s="16">
        <f>332.45*1.18</f>
        <v>392.29099999999994</v>
      </c>
      <c r="H61" s="17">
        <v>0</v>
      </c>
      <c r="I61" s="24"/>
      <c r="J61" s="15">
        <f t="shared" si="6"/>
        <v>0</v>
      </c>
      <c r="K61" s="16">
        <f t="shared" si="7"/>
        <v>0</v>
      </c>
    </row>
    <row r="62" spans="1:11" x14ac:dyDescent="0.25">
      <c r="A62" s="22"/>
      <c r="B62" s="22"/>
      <c r="C62" s="24"/>
      <c r="D62" s="24"/>
      <c r="E62" s="15" t="s">
        <v>29</v>
      </c>
      <c r="F62" s="15" t="s">
        <v>30</v>
      </c>
      <c r="G62" s="16">
        <f>554.81*1.18</f>
        <v>654.67579999999987</v>
      </c>
      <c r="H62" s="17">
        <v>0</v>
      </c>
      <c r="I62" s="24"/>
      <c r="J62" s="15">
        <f t="shared" si="6"/>
        <v>0</v>
      </c>
      <c r="K62" s="16">
        <f t="shared" si="7"/>
        <v>0</v>
      </c>
    </row>
    <row r="63" spans="1:11" x14ac:dyDescent="0.25">
      <c r="A63" s="22"/>
      <c r="B63" s="22"/>
      <c r="C63" s="24"/>
      <c r="D63" s="24" t="s">
        <v>15</v>
      </c>
      <c r="E63" s="15" t="s">
        <v>31</v>
      </c>
      <c r="F63" s="15" t="s">
        <v>32</v>
      </c>
      <c r="G63" s="16">
        <f>834.94*1.18</f>
        <v>985.22919999999999</v>
      </c>
      <c r="H63" s="17">
        <v>15000</v>
      </c>
      <c r="I63" s="24"/>
      <c r="J63" s="15">
        <f t="shared" si="6"/>
        <v>15</v>
      </c>
      <c r="K63" s="16">
        <f t="shared" si="7"/>
        <v>14778.438</v>
      </c>
    </row>
    <row r="64" spans="1:11" x14ac:dyDescent="0.25">
      <c r="A64" s="22">
        <v>6</v>
      </c>
      <c r="B64" s="22" t="s">
        <v>33</v>
      </c>
      <c r="C64" s="24" t="s">
        <v>34</v>
      </c>
      <c r="D64" s="24"/>
      <c r="E64" s="15" t="s">
        <v>27</v>
      </c>
      <c r="F64" s="15" t="s">
        <v>35</v>
      </c>
      <c r="G64" s="16">
        <f>76.3*1.18</f>
        <v>90.033999999999992</v>
      </c>
      <c r="H64" s="17">
        <v>0</v>
      </c>
      <c r="I64" s="24"/>
      <c r="J64" s="15">
        <f t="shared" si="6"/>
        <v>0</v>
      </c>
      <c r="K64" s="16">
        <f t="shared" si="7"/>
        <v>0</v>
      </c>
    </row>
    <row r="65" spans="1:11" x14ac:dyDescent="0.25">
      <c r="A65" s="22">
        <v>7</v>
      </c>
      <c r="B65" s="22"/>
      <c r="C65" s="24"/>
      <c r="D65" s="24" t="s">
        <v>15</v>
      </c>
      <c r="E65" s="15" t="s">
        <v>29</v>
      </c>
      <c r="F65" s="15" t="s">
        <v>36</v>
      </c>
      <c r="G65" s="16">
        <f>134.07*1.18</f>
        <v>158.20259999999999</v>
      </c>
      <c r="H65" s="17">
        <v>0</v>
      </c>
      <c r="I65" s="24"/>
      <c r="J65" s="15">
        <f t="shared" si="6"/>
        <v>0</v>
      </c>
      <c r="K65" s="16">
        <f t="shared" si="7"/>
        <v>0</v>
      </c>
    </row>
    <row r="66" spans="1:11" x14ac:dyDescent="0.25">
      <c r="A66" s="22">
        <v>8</v>
      </c>
      <c r="B66" s="22"/>
      <c r="C66" s="24"/>
      <c r="D66" s="24"/>
      <c r="E66" s="15" t="s">
        <v>31</v>
      </c>
      <c r="F66" s="15" t="s">
        <v>37</v>
      </c>
      <c r="G66" s="16">
        <f>203.83*1.18</f>
        <v>240.51939999999999</v>
      </c>
      <c r="H66" s="17">
        <v>15000</v>
      </c>
      <c r="I66" s="24"/>
      <c r="J66" s="15">
        <f t="shared" si="6"/>
        <v>15</v>
      </c>
      <c r="K66" s="16">
        <f t="shared" si="7"/>
        <v>3607.7909999999997</v>
      </c>
    </row>
    <row r="67" spans="1:11" x14ac:dyDescent="0.25">
      <c r="A67" s="14">
        <v>7</v>
      </c>
      <c r="B67" s="15" t="s">
        <v>38</v>
      </c>
      <c r="C67" s="15" t="s">
        <v>39</v>
      </c>
      <c r="D67" s="15" t="s">
        <v>15</v>
      </c>
      <c r="E67" s="15"/>
      <c r="F67" s="15" t="s">
        <v>40</v>
      </c>
      <c r="G67" s="16">
        <f>54.5*1.18</f>
        <v>64.31</v>
      </c>
      <c r="H67" s="14" t="s">
        <v>16</v>
      </c>
      <c r="I67" s="19">
        <v>36075</v>
      </c>
      <c r="J67" s="16">
        <f>SUM(I67*1.2)/1000</f>
        <v>43.29</v>
      </c>
      <c r="K67" s="16">
        <f t="shared" si="7"/>
        <v>2783.9799000000003</v>
      </c>
    </row>
    <row r="68" spans="1:11" ht="15.75" x14ac:dyDescent="0.25">
      <c r="A68" s="25" t="s">
        <v>41</v>
      </c>
      <c r="B68" s="25"/>
      <c r="C68" s="25"/>
      <c r="D68" s="25"/>
      <c r="E68" s="25"/>
      <c r="F68" s="25"/>
      <c r="G68" s="25"/>
      <c r="H68" s="25"/>
      <c r="I68" s="25"/>
      <c r="J68" s="25"/>
      <c r="K68" s="20">
        <f>SUM(K57:K67)</f>
        <v>36585.315899999994</v>
      </c>
    </row>
    <row r="70" spans="1:11" ht="17.25" x14ac:dyDescent="0.25">
      <c r="A70" s="21" t="s">
        <v>50</v>
      </c>
      <c r="B70" s="21"/>
      <c r="C70" s="21"/>
      <c r="D70" s="21"/>
      <c r="E70" s="21"/>
      <c r="F70" s="21"/>
      <c r="G70" s="21"/>
      <c r="H70" s="21"/>
      <c r="I70" s="21"/>
      <c r="J70" s="21"/>
      <c r="K70" s="13"/>
    </row>
    <row r="71" spans="1:11" x14ac:dyDescent="0.25">
      <c r="A71" s="22" t="s">
        <v>1</v>
      </c>
      <c r="B71" s="22" t="s">
        <v>2</v>
      </c>
      <c r="C71" s="22" t="s">
        <v>3</v>
      </c>
      <c r="D71" s="22" t="s">
        <v>4</v>
      </c>
      <c r="E71" s="22" t="s">
        <v>5</v>
      </c>
      <c r="F71" s="22" t="s">
        <v>6</v>
      </c>
      <c r="G71" s="23" t="s">
        <v>7</v>
      </c>
      <c r="H71" s="22" t="s">
        <v>8</v>
      </c>
      <c r="I71" s="22"/>
      <c r="J71" s="22"/>
      <c r="K71" s="23" t="s">
        <v>9</v>
      </c>
    </row>
    <row r="72" spans="1:11" x14ac:dyDescent="0.25">
      <c r="A72" s="22"/>
      <c r="B72" s="22"/>
      <c r="C72" s="22"/>
      <c r="D72" s="22"/>
      <c r="E72" s="22"/>
      <c r="F72" s="22"/>
      <c r="G72" s="23"/>
      <c r="H72" s="22"/>
      <c r="I72" s="22"/>
      <c r="J72" s="22"/>
      <c r="K72" s="23"/>
    </row>
    <row r="73" spans="1:11" ht="60" x14ac:dyDescent="0.25">
      <c r="A73" s="22"/>
      <c r="B73" s="22"/>
      <c r="C73" s="22"/>
      <c r="D73" s="22"/>
      <c r="E73" s="22"/>
      <c r="F73" s="22"/>
      <c r="G73" s="23"/>
      <c r="H73" s="14" t="s">
        <v>10</v>
      </c>
      <c r="I73" s="14" t="s">
        <v>11</v>
      </c>
      <c r="J73" s="14" t="s">
        <v>12</v>
      </c>
      <c r="K73" s="23"/>
    </row>
    <row r="74" spans="1:11" x14ac:dyDescent="0.25">
      <c r="A74" s="14">
        <v>1</v>
      </c>
      <c r="B74" s="14" t="s">
        <v>13</v>
      </c>
      <c r="C74" s="24" t="s">
        <v>14</v>
      </c>
      <c r="D74" s="24" t="s">
        <v>15</v>
      </c>
      <c r="E74" s="24" t="s">
        <v>16</v>
      </c>
      <c r="F74" s="14" t="s">
        <v>17</v>
      </c>
      <c r="G74" s="16">
        <f>444.72*1.18</f>
        <v>524.76959999999997</v>
      </c>
      <c r="H74" s="17">
        <v>41000</v>
      </c>
      <c r="I74" s="24" t="s">
        <v>16</v>
      </c>
      <c r="J74" s="15">
        <f t="shared" ref="J74:J83" si="8">SUM(H74)/1000</f>
        <v>41</v>
      </c>
      <c r="K74" s="16">
        <f t="shared" ref="K74:K84" si="9">SUM(G74*J74)</f>
        <v>21515.553599999999</v>
      </c>
    </row>
    <row r="75" spans="1:11" x14ac:dyDescent="0.25">
      <c r="A75" s="14">
        <v>2</v>
      </c>
      <c r="B75" s="14" t="s">
        <v>18</v>
      </c>
      <c r="C75" s="24"/>
      <c r="D75" s="24"/>
      <c r="E75" s="24"/>
      <c r="F75" s="14" t="s">
        <v>19</v>
      </c>
      <c r="G75" s="16">
        <f>204.92*1.18</f>
        <v>241.80559999999997</v>
      </c>
      <c r="H75" s="17">
        <v>41000</v>
      </c>
      <c r="I75" s="24"/>
      <c r="J75" s="15">
        <f t="shared" si="8"/>
        <v>41</v>
      </c>
      <c r="K75" s="16">
        <f t="shared" si="9"/>
        <v>9914.029599999998</v>
      </c>
    </row>
    <row r="76" spans="1:11" x14ac:dyDescent="0.25">
      <c r="A76" s="14">
        <v>3</v>
      </c>
      <c r="B76" s="14" t="s">
        <v>20</v>
      </c>
      <c r="C76" s="24" t="s">
        <v>21</v>
      </c>
      <c r="D76" s="24" t="s">
        <v>15</v>
      </c>
      <c r="E76" s="24" t="s">
        <v>16</v>
      </c>
      <c r="F76" s="14" t="s">
        <v>22</v>
      </c>
      <c r="G76" s="16">
        <f>116.63*1.18</f>
        <v>137.62339999999998</v>
      </c>
      <c r="H76" s="17">
        <v>41000</v>
      </c>
      <c r="I76" s="24"/>
      <c r="J76" s="15">
        <f t="shared" si="8"/>
        <v>41</v>
      </c>
      <c r="K76" s="16">
        <f t="shared" si="9"/>
        <v>5642.5593999999992</v>
      </c>
    </row>
    <row r="77" spans="1:11" x14ac:dyDescent="0.25">
      <c r="A77" s="14">
        <v>4</v>
      </c>
      <c r="B77" s="14" t="s">
        <v>23</v>
      </c>
      <c r="C77" s="24"/>
      <c r="D77" s="24"/>
      <c r="E77" s="24"/>
      <c r="F77" s="18" t="s">
        <v>24</v>
      </c>
      <c r="G77" s="16">
        <f>104.64*1.18</f>
        <v>123.4752</v>
      </c>
      <c r="H77" s="17">
        <v>41000</v>
      </c>
      <c r="I77" s="24"/>
      <c r="J77" s="15">
        <f t="shared" si="8"/>
        <v>41</v>
      </c>
      <c r="K77" s="16">
        <f t="shared" si="9"/>
        <v>5062.4831999999997</v>
      </c>
    </row>
    <row r="78" spans="1:11" x14ac:dyDescent="0.25">
      <c r="A78" s="22">
        <v>5</v>
      </c>
      <c r="B78" s="22" t="s">
        <v>25</v>
      </c>
      <c r="C78" s="24" t="s">
        <v>26</v>
      </c>
      <c r="D78" s="24" t="s">
        <v>15</v>
      </c>
      <c r="E78" s="15" t="s">
        <v>27</v>
      </c>
      <c r="F78" s="15" t="s">
        <v>28</v>
      </c>
      <c r="G78" s="16">
        <f>332.45*1.18</f>
        <v>392.29099999999994</v>
      </c>
      <c r="H78" s="17">
        <v>41000</v>
      </c>
      <c r="I78" s="24"/>
      <c r="J78" s="15">
        <f t="shared" si="8"/>
        <v>41</v>
      </c>
      <c r="K78" s="16">
        <f t="shared" si="9"/>
        <v>16083.930999999997</v>
      </c>
    </row>
    <row r="79" spans="1:11" x14ac:dyDescent="0.25">
      <c r="A79" s="22"/>
      <c r="B79" s="22"/>
      <c r="C79" s="24"/>
      <c r="D79" s="24"/>
      <c r="E79" s="15" t="s">
        <v>29</v>
      </c>
      <c r="F79" s="15" t="s">
        <v>30</v>
      </c>
      <c r="G79" s="16">
        <f>554.81*1.18</f>
        <v>654.67579999999987</v>
      </c>
      <c r="H79" s="17">
        <v>0</v>
      </c>
      <c r="I79" s="24"/>
      <c r="J79" s="15">
        <f t="shared" si="8"/>
        <v>0</v>
      </c>
      <c r="K79" s="16">
        <f t="shared" si="9"/>
        <v>0</v>
      </c>
    </row>
    <row r="80" spans="1:11" x14ac:dyDescent="0.25">
      <c r="A80" s="22"/>
      <c r="B80" s="22"/>
      <c r="C80" s="24"/>
      <c r="D80" s="24" t="s">
        <v>15</v>
      </c>
      <c r="E80" s="15" t="s">
        <v>31</v>
      </c>
      <c r="F80" s="15" t="s">
        <v>32</v>
      </c>
      <c r="G80" s="16">
        <f>834.94*1.18</f>
        <v>985.22919999999999</v>
      </c>
      <c r="H80" s="17">
        <v>0</v>
      </c>
      <c r="I80" s="24"/>
      <c r="J80" s="15">
        <f t="shared" si="8"/>
        <v>0</v>
      </c>
      <c r="K80" s="16">
        <f t="shared" si="9"/>
        <v>0</v>
      </c>
    </row>
    <row r="81" spans="1:11" x14ac:dyDescent="0.25">
      <c r="A81" s="22">
        <v>6</v>
      </c>
      <c r="B81" s="22" t="s">
        <v>33</v>
      </c>
      <c r="C81" s="24" t="s">
        <v>34</v>
      </c>
      <c r="D81" s="24"/>
      <c r="E81" s="15" t="s">
        <v>27</v>
      </c>
      <c r="F81" s="15" t="s">
        <v>35</v>
      </c>
      <c r="G81" s="16">
        <f>76.3*1.18</f>
        <v>90.033999999999992</v>
      </c>
      <c r="H81" s="17">
        <v>41000</v>
      </c>
      <c r="I81" s="24"/>
      <c r="J81" s="15">
        <f t="shared" si="8"/>
        <v>41</v>
      </c>
      <c r="K81" s="16">
        <f t="shared" si="9"/>
        <v>3691.3939999999998</v>
      </c>
    </row>
    <row r="82" spans="1:11" x14ac:dyDescent="0.25">
      <c r="A82" s="22">
        <v>7</v>
      </c>
      <c r="B82" s="22"/>
      <c r="C82" s="24"/>
      <c r="D82" s="24" t="s">
        <v>15</v>
      </c>
      <c r="E82" s="15" t="s">
        <v>29</v>
      </c>
      <c r="F82" s="15" t="s">
        <v>36</v>
      </c>
      <c r="G82" s="16">
        <f>134.07*1.18</f>
        <v>158.20259999999999</v>
      </c>
      <c r="H82" s="17">
        <v>0</v>
      </c>
      <c r="I82" s="24"/>
      <c r="J82" s="15">
        <f t="shared" si="8"/>
        <v>0</v>
      </c>
      <c r="K82" s="16">
        <f t="shared" si="9"/>
        <v>0</v>
      </c>
    </row>
    <row r="83" spans="1:11" x14ac:dyDescent="0.25">
      <c r="A83" s="22">
        <v>8</v>
      </c>
      <c r="B83" s="22"/>
      <c r="C83" s="24"/>
      <c r="D83" s="24"/>
      <c r="E83" s="15" t="s">
        <v>31</v>
      </c>
      <c r="F83" s="15" t="s">
        <v>37</v>
      </c>
      <c r="G83" s="16">
        <f>203.83*1.18</f>
        <v>240.51939999999999</v>
      </c>
      <c r="H83" s="17">
        <v>0</v>
      </c>
      <c r="I83" s="24"/>
      <c r="J83" s="15">
        <f t="shared" si="8"/>
        <v>0</v>
      </c>
      <c r="K83" s="16">
        <f t="shared" si="9"/>
        <v>0</v>
      </c>
    </row>
    <row r="84" spans="1:11" x14ac:dyDescent="0.25">
      <c r="A84" s="14">
        <v>7</v>
      </c>
      <c r="B84" s="15" t="s">
        <v>38</v>
      </c>
      <c r="C84" s="15" t="s">
        <v>39</v>
      </c>
      <c r="D84" s="15" t="s">
        <v>15</v>
      </c>
      <c r="E84" s="15"/>
      <c r="F84" s="15" t="s">
        <v>40</v>
      </c>
      <c r="G84" s="16">
        <f>54.5*1.18</f>
        <v>64.31</v>
      </c>
      <c r="H84" s="14" t="s">
        <v>16</v>
      </c>
      <c r="I84" s="19">
        <v>15450</v>
      </c>
      <c r="J84" s="16">
        <f>SUM(I84*1.2)/1000</f>
        <v>18.54</v>
      </c>
      <c r="K84" s="16">
        <f t="shared" si="9"/>
        <v>1192.3073999999999</v>
      </c>
    </row>
    <row r="85" spans="1:11" ht="15.75" x14ac:dyDescent="0.25">
      <c r="A85" s="25" t="s">
        <v>41</v>
      </c>
      <c r="B85" s="25"/>
      <c r="C85" s="25"/>
      <c r="D85" s="25"/>
      <c r="E85" s="25"/>
      <c r="F85" s="25"/>
      <c r="G85" s="25"/>
      <c r="H85" s="25"/>
      <c r="I85" s="25"/>
      <c r="J85" s="25"/>
      <c r="K85" s="20">
        <f>SUM(K74:K84)</f>
        <v>63102.258199999997</v>
      </c>
    </row>
  </sheetData>
  <mergeCells count="135">
    <mergeCell ref="A85:J85"/>
    <mergeCell ref="K71:K73"/>
    <mergeCell ref="C74:C75"/>
    <mergeCell ref="D74:D75"/>
    <mergeCell ref="E74:E75"/>
    <mergeCell ref="I74:I83"/>
    <mergeCell ref="C76:C77"/>
    <mergeCell ref="D76:D77"/>
    <mergeCell ref="E76:E77"/>
    <mergeCell ref="A78:A80"/>
    <mergeCell ref="B78:B80"/>
    <mergeCell ref="C78:C80"/>
    <mergeCell ref="D78:D79"/>
    <mergeCell ref="D80:D81"/>
    <mergeCell ref="A81:A83"/>
    <mergeCell ref="B81:B83"/>
    <mergeCell ref="C81:C83"/>
    <mergeCell ref="D82:D83"/>
    <mergeCell ref="A70:J70"/>
    <mergeCell ref="A71:A73"/>
    <mergeCell ref="B71:B73"/>
    <mergeCell ref="C71:C73"/>
    <mergeCell ref="D71:D73"/>
    <mergeCell ref="E71:E73"/>
    <mergeCell ref="F71:F73"/>
    <mergeCell ref="G71:G73"/>
    <mergeCell ref="H71:J72"/>
    <mergeCell ref="A68:J68"/>
    <mergeCell ref="K54:K56"/>
    <mergeCell ref="C57:C58"/>
    <mergeCell ref="D57:D58"/>
    <mergeCell ref="E57:E58"/>
    <mergeCell ref="I57:I66"/>
    <mergeCell ref="C59:C60"/>
    <mergeCell ref="D59:D60"/>
    <mergeCell ref="E59:E60"/>
    <mergeCell ref="A61:A63"/>
    <mergeCell ref="B61:B63"/>
    <mergeCell ref="C61:C63"/>
    <mergeCell ref="D61:D62"/>
    <mergeCell ref="D63:D64"/>
    <mergeCell ref="A64:A66"/>
    <mergeCell ref="B64:B66"/>
    <mergeCell ref="C64:C66"/>
    <mergeCell ref="D65:D66"/>
    <mergeCell ref="A51:J51"/>
    <mergeCell ref="A53:J53"/>
    <mergeCell ref="A54:A56"/>
    <mergeCell ref="B54:B56"/>
    <mergeCell ref="C54:C56"/>
    <mergeCell ref="D54:D56"/>
    <mergeCell ref="E54:E56"/>
    <mergeCell ref="F54:F56"/>
    <mergeCell ref="G54:G56"/>
    <mergeCell ref="H54:J55"/>
    <mergeCell ref="K37:K39"/>
    <mergeCell ref="C40:C41"/>
    <mergeCell ref="D40:D41"/>
    <mergeCell ref="E40:E41"/>
    <mergeCell ref="I40:I49"/>
    <mergeCell ref="C42:C43"/>
    <mergeCell ref="D42:D43"/>
    <mergeCell ref="E42:E43"/>
    <mergeCell ref="A44:A46"/>
    <mergeCell ref="B44:B46"/>
    <mergeCell ref="C44:C46"/>
    <mergeCell ref="D44:D45"/>
    <mergeCell ref="D46:D47"/>
    <mergeCell ref="A47:A49"/>
    <mergeCell ref="B47:B49"/>
    <mergeCell ref="C47:C49"/>
    <mergeCell ref="D48:D49"/>
    <mergeCell ref="A34:J34"/>
    <mergeCell ref="A36:J36"/>
    <mergeCell ref="A37:A39"/>
    <mergeCell ref="B37:B39"/>
    <mergeCell ref="C37:C39"/>
    <mergeCell ref="D37:D39"/>
    <mergeCell ref="E37:E39"/>
    <mergeCell ref="F37:F39"/>
    <mergeCell ref="G37:G39"/>
    <mergeCell ref="H37:J38"/>
    <mergeCell ref="K20:K22"/>
    <mergeCell ref="C23:C24"/>
    <mergeCell ref="D23:D24"/>
    <mergeCell ref="E23:E24"/>
    <mergeCell ref="I23:I32"/>
    <mergeCell ref="C25:C26"/>
    <mergeCell ref="D25:D26"/>
    <mergeCell ref="E25:E26"/>
    <mergeCell ref="A27:A29"/>
    <mergeCell ref="B27:B29"/>
    <mergeCell ref="C27:C29"/>
    <mergeCell ref="D27:D28"/>
    <mergeCell ref="D29:D30"/>
    <mergeCell ref="A30:A32"/>
    <mergeCell ref="B30:B32"/>
    <mergeCell ref="C30:C32"/>
    <mergeCell ref="D31:D32"/>
    <mergeCell ref="A17:J17"/>
    <mergeCell ref="A19:J19"/>
    <mergeCell ref="A20:A22"/>
    <mergeCell ref="B20:B22"/>
    <mergeCell ref="C20:C22"/>
    <mergeCell ref="D20:D22"/>
    <mergeCell ref="E20:E22"/>
    <mergeCell ref="F20:F22"/>
    <mergeCell ref="G20:G22"/>
    <mergeCell ref="H20:J21"/>
    <mergeCell ref="K3:K5"/>
    <mergeCell ref="C6:C7"/>
    <mergeCell ref="D6:D7"/>
    <mergeCell ref="E6:E7"/>
    <mergeCell ref="I6:I15"/>
    <mergeCell ref="C8:C9"/>
    <mergeCell ref="D8:D9"/>
    <mergeCell ref="E8:E9"/>
    <mergeCell ref="A10:A12"/>
    <mergeCell ref="B10:B12"/>
    <mergeCell ref="C10:C12"/>
    <mergeCell ref="D10:D11"/>
    <mergeCell ref="D12:D13"/>
    <mergeCell ref="A13:A15"/>
    <mergeCell ref="B13:B15"/>
    <mergeCell ref="C13:C15"/>
    <mergeCell ref="D14:D15"/>
    <mergeCell ref="A2:J2"/>
    <mergeCell ref="A3:A5"/>
    <mergeCell ref="B3:B5"/>
    <mergeCell ref="C3:C5"/>
    <mergeCell ref="D3:D5"/>
    <mergeCell ref="E3:E5"/>
    <mergeCell ref="F3:F5"/>
    <mergeCell ref="G3:G5"/>
    <mergeCell ref="H3:J4"/>
  </mergeCells>
  <pageMargins left="0.7" right="0.7" top="0.75" bottom="0.75" header="0.511811023622047" footer="0.511811023622047"/>
  <pageSetup paperSize="9" scale="65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6E75-356E-477B-9120-C70CFBA9F550}">
  <dimension ref="A1"/>
  <sheetViews>
    <sheetView showGridLines="0" tabSelected="1" topLeftCell="A150" zoomScale="73" zoomScaleNormal="73" workbookViewId="0">
      <selection activeCell="A169" sqref="A169"/>
    </sheetView>
  </sheetViews>
  <sheetFormatPr defaultRowHeight="15" x14ac:dyDescent="0.25"/>
  <cols>
    <col min="15" max="15" width="9.140625" customWidth="1"/>
  </cols>
  <sheetData>
    <row r="1" ht="18.75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78D6-735A-4563-B5E2-AABB216D2FA7}">
  <dimension ref="A1:K83"/>
  <sheetViews>
    <sheetView topLeftCell="A9" workbookViewId="0">
      <selection activeCell="N23" sqref="N23"/>
    </sheetView>
  </sheetViews>
  <sheetFormatPr defaultRowHeight="15" x14ac:dyDescent="0.25"/>
  <cols>
    <col min="5" max="5" width="11.5703125" customWidth="1"/>
    <col min="6" max="6" width="13.5703125" customWidth="1"/>
    <col min="11" max="11" width="14.85546875" customWidth="1"/>
  </cols>
  <sheetData>
    <row r="1" spans="1:11" ht="17.25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5"/>
    </row>
    <row r="2" spans="1:11" x14ac:dyDescent="0.25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8" t="s">
        <v>7</v>
      </c>
      <c r="H2" s="26" t="s">
        <v>8</v>
      </c>
      <c r="I2" s="26"/>
      <c r="J2" s="26"/>
      <c r="K2" s="28" t="s">
        <v>9</v>
      </c>
    </row>
    <row r="3" spans="1:11" x14ac:dyDescent="0.25">
      <c r="A3" s="26"/>
      <c r="B3" s="26"/>
      <c r="C3" s="26"/>
      <c r="D3" s="26"/>
      <c r="E3" s="26"/>
      <c r="F3" s="26"/>
      <c r="G3" s="28"/>
      <c r="H3" s="26"/>
      <c r="I3" s="26"/>
      <c r="J3" s="26"/>
      <c r="K3" s="28"/>
    </row>
    <row r="4" spans="1:11" ht="60" x14ac:dyDescent="0.25">
      <c r="A4" s="26"/>
      <c r="B4" s="26"/>
      <c r="C4" s="26"/>
      <c r="D4" s="26"/>
      <c r="E4" s="26"/>
      <c r="F4" s="26"/>
      <c r="G4" s="28"/>
      <c r="H4" s="6" t="s">
        <v>10</v>
      </c>
      <c r="I4" s="6" t="s">
        <v>11</v>
      </c>
      <c r="J4" s="6" t="s">
        <v>12</v>
      </c>
      <c r="K4" s="28"/>
    </row>
    <row r="5" spans="1:11" x14ac:dyDescent="0.25">
      <c r="A5" s="6">
        <v>1</v>
      </c>
      <c r="B5" s="6" t="s">
        <v>13</v>
      </c>
      <c r="C5" s="27" t="s">
        <v>14</v>
      </c>
      <c r="D5" s="27" t="s">
        <v>15</v>
      </c>
      <c r="E5" s="27" t="s">
        <v>16</v>
      </c>
      <c r="F5" s="6" t="s">
        <v>17</v>
      </c>
      <c r="G5" s="8">
        <f>444.72*1.18</f>
        <v>524.76959999999997</v>
      </c>
      <c r="H5" s="9">
        <v>12000</v>
      </c>
      <c r="I5" s="27" t="s">
        <v>16</v>
      </c>
      <c r="J5" s="7">
        <f t="shared" ref="J5:J14" si="0">SUM(H5)/1000</f>
        <v>12</v>
      </c>
      <c r="K5" s="8">
        <f t="shared" ref="K5:K15" si="1">SUM(G5*J5)</f>
        <v>6297.2351999999992</v>
      </c>
    </row>
    <row r="6" spans="1:11" x14ac:dyDescent="0.25">
      <c r="A6" s="6">
        <v>2</v>
      </c>
      <c r="B6" s="6" t="s">
        <v>18</v>
      </c>
      <c r="C6" s="27"/>
      <c r="D6" s="27"/>
      <c r="E6" s="27"/>
      <c r="F6" s="6" t="s">
        <v>19</v>
      </c>
      <c r="G6" s="8">
        <f>204.92*1.18</f>
        <v>241.80559999999997</v>
      </c>
      <c r="H6" s="9">
        <v>12000</v>
      </c>
      <c r="I6" s="27"/>
      <c r="J6" s="7">
        <f t="shared" si="0"/>
        <v>12</v>
      </c>
      <c r="K6" s="8">
        <f t="shared" si="1"/>
        <v>2901.6671999999999</v>
      </c>
    </row>
    <row r="7" spans="1:11" x14ac:dyDescent="0.25">
      <c r="A7" s="6">
        <v>3</v>
      </c>
      <c r="B7" s="6" t="s">
        <v>20</v>
      </c>
      <c r="C7" s="27" t="s">
        <v>21</v>
      </c>
      <c r="D7" s="27" t="s">
        <v>15</v>
      </c>
      <c r="E7" s="27" t="s">
        <v>16</v>
      </c>
      <c r="F7" s="6" t="s">
        <v>22</v>
      </c>
      <c r="G7" s="8">
        <f>116.63*1.18</f>
        <v>137.62339999999998</v>
      </c>
      <c r="H7" s="9">
        <v>12000</v>
      </c>
      <c r="I7" s="27"/>
      <c r="J7" s="7">
        <f t="shared" si="0"/>
        <v>12</v>
      </c>
      <c r="K7" s="8">
        <f t="shared" si="1"/>
        <v>1651.4807999999998</v>
      </c>
    </row>
    <row r="8" spans="1:11" x14ac:dyDescent="0.25">
      <c r="A8" s="6">
        <v>4</v>
      </c>
      <c r="B8" s="6" t="s">
        <v>23</v>
      </c>
      <c r="C8" s="27"/>
      <c r="D8" s="27"/>
      <c r="E8" s="27"/>
      <c r="F8" s="10" t="s">
        <v>24</v>
      </c>
      <c r="G8" s="8">
        <f>104.64*1.18</f>
        <v>123.4752</v>
      </c>
      <c r="H8" s="9">
        <v>12000</v>
      </c>
      <c r="I8" s="27"/>
      <c r="J8" s="7">
        <f t="shared" si="0"/>
        <v>12</v>
      </c>
      <c r="K8" s="8">
        <f t="shared" si="1"/>
        <v>1481.7024000000001</v>
      </c>
    </row>
    <row r="9" spans="1:11" x14ac:dyDescent="0.25">
      <c r="A9" s="26">
        <v>5</v>
      </c>
      <c r="B9" s="26" t="s">
        <v>25</v>
      </c>
      <c r="C9" s="27" t="s">
        <v>26</v>
      </c>
      <c r="D9" s="27" t="s">
        <v>15</v>
      </c>
      <c r="E9" s="7" t="s">
        <v>27</v>
      </c>
      <c r="F9" s="7" t="s">
        <v>28</v>
      </c>
      <c r="G9" s="8">
        <f>332.45*1.18</f>
        <v>392.29099999999994</v>
      </c>
      <c r="H9" s="9">
        <v>0</v>
      </c>
      <c r="I9" s="27"/>
      <c r="J9" s="7">
        <f t="shared" si="0"/>
        <v>0</v>
      </c>
      <c r="K9" s="8">
        <f t="shared" si="1"/>
        <v>0</v>
      </c>
    </row>
    <row r="10" spans="1:11" x14ac:dyDescent="0.25">
      <c r="A10" s="26"/>
      <c r="B10" s="26"/>
      <c r="C10" s="27"/>
      <c r="D10" s="27"/>
      <c r="E10" s="7" t="s">
        <v>29</v>
      </c>
      <c r="F10" s="7" t="s">
        <v>30</v>
      </c>
      <c r="G10" s="8">
        <f>554.81*1.18</f>
        <v>654.67579999999987</v>
      </c>
      <c r="H10" s="9">
        <v>12000</v>
      </c>
      <c r="I10" s="27"/>
      <c r="J10" s="7">
        <f t="shared" si="0"/>
        <v>12</v>
      </c>
      <c r="K10" s="8">
        <f t="shared" si="1"/>
        <v>7856.109599999998</v>
      </c>
    </row>
    <row r="11" spans="1:11" x14ac:dyDescent="0.25">
      <c r="A11" s="26"/>
      <c r="B11" s="26"/>
      <c r="C11" s="27"/>
      <c r="D11" s="27" t="s">
        <v>15</v>
      </c>
      <c r="E11" s="7" t="s">
        <v>31</v>
      </c>
      <c r="F11" s="7" t="s">
        <v>32</v>
      </c>
      <c r="G11" s="8">
        <f>834.94*1.18</f>
        <v>985.22919999999999</v>
      </c>
      <c r="H11" s="9">
        <v>0</v>
      </c>
      <c r="I11" s="27"/>
      <c r="J11" s="7">
        <f t="shared" si="0"/>
        <v>0</v>
      </c>
      <c r="K11" s="8">
        <f t="shared" si="1"/>
        <v>0</v>
      </c>
    </row>
    <row r="12" spans="1:11" x14ac:dyDescent="0.25">
      <c r="A12" s="26">
        <v>6</v>
      </c>
      <c r="B12" s="26" t="s">
        <v>33</v>
      </c>
      <c r="C12" s="27" t="s">
        <v>34</v>
      </c>
      <c r="D12" s="27"/>
      <c r="E12" s="7" t="s">
        <v>27</v>
      </c>
      <c r="F12" s="7" t="s">
        <v>35</v>
      </c>
      <c r="G12" s="8">
        <f>76.3*1.18</f>
        <v>90.033999999999992</v>
      </c>
      <c r="H12" s="9">
        <v>0</v>
      </c>
      <c r="I12" s="27"/>
      <c r="J12" s="7">
        <f t="shared" si="0"/>
        <v>0</v>
      </c>
      <c r="K12" s="8">
        <f t="shared" si="1"/>
        <v>0</v>
      </c>
    </row>
    <row r="13" spans="1:11" x14ac:dyDescent="0.25">
      <c r="A13" s="26">
        <v>7</v>
      </c>
      <c r="B13" s="26"/>
      <c r="C13" s="27"/>
      <c r="D13" s="27" t="s">
        <v>15</v>
      </c>
      <c r="E13" s="7" t="s">
        <v>29</v>
      </c>
      <c r="F13" s="7" t="s">
        <v>36</v>
      </c>
      <c r="G13" s="8">
        <f>134.07*1.18</f>
        <v>158.20259999999999</v>
      </c>
      <c r="H13" s="9">
        <v>12000</v>
      </c>
      <c r="I13" s="27"/>
      <c r="J13" s="7">
        <f t="shared" si="0"/>
        <v>12</v>
      </c>
      <c r="K13" s="8">
        <f t="shared" si="1"/>
        <v>1898.4312</v>
      </c>
    </row>
    <row r="14" spans="1:11" x14ac:dyDescent="0.25">
      <c r="A14" s="26">
        <v>8</v>
      </c>
      <c r="B14" s="26"/>
      <c r="C14" s="27"/>
      <c r="D14" s="27"/>
      <c r="E14" s="7" t="s">
        <v>31</v>
      </c>
      <c r="F14" s="7" t="s">
        <v>37</v>
      </c>
      <c r="G14" s="8">
        <f>203.83*1.18</f>
        <v>240.51939999999999</v>
      </c>
      <c r="H14" s="9">
        <v>0</v>
      </c>
      <c r="I14" s="27"/>
      <c r="J14" s="7">
        <f t="shared" si="0"/>
        <v>0</v>
      </c>
      <c r="K14" s="8">
        <f t="shared" si="1"/>
        <v>0</v>
      </c>
    </row>
    <row r="15" spans="1:11" x14ac:dyDescent="0.25">
      <c r="A15" s="6">
        <v>7</v>
      </c>
      <c r="B15" s="7" t="s">
        <v>38</v>
      </c>
      <c r="C15" s="7" t="s">
        <v>39</v>
      </c>
      <c r="D15" s="7" t="s">
        <v>15</v>
      </c>
      <c r="E15" s="7"/>
      <c r="F15" s="7" t="s">
        <v>40</v>
      </c>
      <c r="G15" s="8">
        <f>54.5*1.18</f>
        <v>64.31</v>
      </c>
      <c r="H15" s="6" t="s">
        <v>16</v>
      </c>
      <c r="I15" s="11">
        <v>22700</v>
      </c>
      <c r="J15" s="8">
        <f>SUM(I15*1.2)/1000</f>
        <v>27.24</v>
      </c>
      <c r="K15" s="8">
        <f t="shared" si="1"/>
        <v>1751.8044</v>
      </c>
    </row>
    <row r="16" spans="1:11" ht="15.75" x14ac:dyDescent="0.25">
      <c r="A16" s="29" t="s">
        <v>41</v>
      </c>
      <c r="B16" s="29"/>
      <c r="C16" s="29"/>
      <c r="D16" s="29"/>
      <c r="E16" s="29"/>
      <c r="F16" s="29"/>
      <c r="G16" s="29"/>
      <c r="H16" s="29"/>
      <c r="I16" s="29"/>
      <c r="J16" s="29"/>
      <c r="K16" s="12">
        <f>SUM(K5:K15)</f>
        <v>23838.430799999995</v>
      </c>
    </row>
    <row r="17" spans="1:11" x14ac:dyDescent="0.25">
      <c r="A17" s="3"/>
      <c r="B17" s="3"/>
      <c r="C17" s="3"/>
      <c r="D17" s="3"/>
      <c r="E17" s="3"/>
      <c r="F17" s="3"/>
      <c r="G17" s="4"/>
      <c r="H17" s="3"/>
      <c r="I17" s="3"/>
      <c r="J17" s="3"/>
      <c r="K17" s="4"/>
    </row>
    <row r="18" spans="1:11" ht="17.25" x14ac:dyDescent="0.25">
      <c r="A18" s="30" t="s">
        <v>42</v>
      </c>
      <c r="B18" s="30"/>
      <c r="C18" s="30"/>
      <c r="D18" s="30"/>
      <c r="E18" s="30"/>
      <c r="F18" s="30"/>
      <c r="G18" s="30"/>
      <c r="H18" s="30"/>
      <c r="I18" s="30"/>
      <c r="J18" s="30"/>
      <c r="K18" s="5"/>
    </row>
    <row r="19" spans="1:11" x14ac:dyDescent="0.25">
      <c r="A19" s="26" t="s">
        <v>1</v>
      </c>
      <c r="B19" s="26" t="s">
        <v>2</v>
      </c>
      <c r="C19" s="26" t="s">
        <v>3</v>
      </c>
      <c r="D19" s="26" t="s">
        <v>4</v>
      </c>
      <c r="E19" s="26" t="s">
        <v>5</v>
      </c>
      <c r="F19" s="26" t="s">
        <v>6</v>
      </c>
      <c r="G19" s="28" t="s">
        <v>7</v>
      </c>
      <c r="H19" s="26" t="s">
        <v>8</v>
      </c>
      <c r="I19" s="26"/>
      <c r="J19" s="26"/>
      <c r="K19" s="28" t="s">
        <v>9</v>
      </c>
    </row>
    <row r="20" spans="1:11" x14ac:dyDescent="0.25">
      <c r="A20" s="26"/>
      <c r="B20" s="26"/>
      <c r="C20" s="26"/>
      <c r="D20" s="26"/>
      <c r="E20" s="26"/>
      <c r="F20" s="26"/>
      <c r="G20" s="28"/>
      <c r="H20" s="26"/>
      <c r="I20" s="26"/>
      <c r="J20" s="26"/>
      <c r="K20" s="28"/>
    </row>
    <row r="21" spans="1:11" ht="60" x14ac:dyDescent="0.25">
      <c r="A21" s="26"/>
      <c r="B21" s="26"/>
      <c r="C21" s="26"/>
      <c r="D21" s="26"/>
      <c r="E21" s="26"/>
      <c r="F21" s="26"/>
      <c r="G21" s="28"/>
      <c r="H21" s="6" t="s">
        <v>10</v>
      </c>
      <c r="I21" s="6" t="s">
        <v>11</v>
      </c>
      <c r="J21" s="6" t="s">
        <v>12</v>
      </c>
      <c r="K21" s="28"/>
    </row>
    <row r="22" spans="1:11" x14ac:dyDescent="0.25">
      <c r="A22" s="6">
        <v>1</v>
      </c>
      <c r="B22" s="6" t="s">
        <v>13</v>
      </c>
      <c r="C22" s="27" t="s">
        <v>14</v>
      </c>
      <c r="D22" s="27" t="s">
        <v>15</v>
      </c>
      <c r="E22" s="27" t="s">
        <v>16</v>
      </c>
      <c r="F22" s="6" t="s">
        <v>17</v>
      </c>
      <c r="G22" s="8">
        <f>444.72*1.18</f>
        <v>524.76959999999997</v>
      </c>
      <c r="H22" s="9">
        <v>57000</v>
      </c>
      <c r="I22" s="27" t="s">
        <v>16</v>
      </c>
      <c r="J22" s="7">
        <f t="shared" ref="J22:J31" si="2">SUM(H22)/1000</f>
        <v>57</v>
      </c>
      <c r="K22" s="8">
        <f t="shared" ref="K22:K32" si="3">SUM(G22*J22)</f>
        <v>29911.867199999997</v>
      </c>
    </row>
    <row r="23" spans="1:11" x14ac:dyDescent="0.25">
      <c r="A23" s="6">
        <v>2</v>
      </c>
      <c r="B23" s="6" t="s">
        <v>18</v>
      </c>
      <c r="C23" s="27"/>
      <c r="D23" s="27"/>
      <c r="E23" s="27"/>
      <c r="F23" s="6" t="s">
        <v>19</v>
      </c>
      <c r="G23" s="8">
        <f>204.92*1.18</f>
        <v>241.80559999999997</v>
      </c>
      <c r="H23" s="9">
        <v>57000</v>
      </c>
      <c r="I23" s="27"/>
      <c r="J23" s="7">
        <f t="shared" si="2"/>
        <v>57</v>
      </c>
      <c r="K23" s="8">
        <f t="shared" si="3"/>
        <v>13782.919199999998</v>
      </c>
    </row>
    <row r="24" spans="1:11" x14ac:dyDescent="0.25">
      <c r="A24" s="6">
        <v>3</v>
      </c>
      <c r="B24" s="6" t="s">
        <v>20</v>
      </c>
      <c r="C24" s="27" t="s">
        <v>21</v>
      </c>
      <c r="D24" s="27" t="s">
        <v>15</v>
      </c>
      <c r="E24" s="27" t="s">
        <v>16</v>
      </c>
      <c r="F24" s="6" t="s">
        <v>22</v>
      </c>
      <c r="G24" s="8">
        <f>116.63*1.18</f>
        <v>137.62339999999998</v>
      </c>
      <c r="H24" s="9">
        <v>57000</v>
      </c>
      <c r="I24" s="27"/>
      <c r="J24" s="7">
        <f t="shared" si="2"/>
        <v>57</v>
      </c>
      <c r="K24" s="8">
        <f t="shared" si="3"/>
        <v>7844.5337999999983</v>
      </c>
    </row>
    <row r="25" spans="1:11" x14ac:dyDescent="0.25">
      <c r="A25" s="6">
        <v>4</v>
      </c>
      <c r="B25" s="6" t="s">
        <v>23</v>
      </c>
      <c r="C25" s="27"/>
      <c r="D25" s="27"/>
      <c r="E25" s="27"/>
      <c r="F25" s="10" t="s">
        <v>24</v>
      </c>
      <c r="G25" s="8">
        <f>104.64*1.18</f>
        <v>123.4752</v>
      </c>
      <c r="H25" s="9">
        <v>57000</v>
      </c>
      <c r="I25" s="27"/>
      <c r="J25" s="7">
        <f t="shared" si="2"/>
        <v>57</v>
      </c>
      <c r="K25" s="8">
        <f t="shared" si="3"/>
        <v>7038.0864000000001</v>
      </c>
    </row>
    <row r="26" spans="1:11" x14ac:dyDescent="0.25">
      <c r="A26" s="26">
        <v>5</v>
      </c>
      <c r="B26" s="26" t="s">
        <v>25</v>
      </c>
      <c r="C26" s="27" t="s">
        <v>26</v>
      </c>
      <c r="D26" s="27" t="s">
        <v>15</v>
      </c>
      <c r="E26" s="7" t="s">
        <v>27</v>
      </c>
      <c r="F26" s="7" t="s">
        <v>28</v>
      </c>
      <c r="G26" s="8">
        <f>332.45*1.18</f>
        <v>392.29099999999994</v>
      </c>
      <c r="H26" s="9">
        <v>0</v>
      </c>
      <c r="I26" s="27"/>
      <c r="J26" s="7">
        <f t="shared" si="2"/>
        <v>0</v>
      </c>
      <c r="K26" s="8">
        <f t="shared" si="3"/>
        <v>0</v>
      </c>
    </row>
    <row r="27" spans="1:11" x14ac:dyDescent="0.25">
      <c r="A27" s="26"/>
      <c r="B27" s="26"/>
      <c r="C27" s="27"/>
      <c r="D27" s="27"/>
      <c r="E27" s="7" t="s">
        <v>29</v>
      </c>
      <c r="F27" s="7" t="s">
        <v>30</v>
      </c>
      <c r="G27" s="8">
        <f>554.81*1.18</f>
        <v>654.67579999999987</v>
      </c>
      <c r="H27" s="9">
        <v>57000</v>
      </c>
      <c r="I27" s="27"/>
      <c r="J27" s="7">
        <f t="shared" si="2"/>
        <v>57</v>
      </c>
      <c r="K27" s="8">
        <f t="shared" si="3"/>
        <v>37316.520599999989</v>
      </c>
    </row>
    <row r="28" spans="1:11" x14ac:dyDescent="0.25">
      <c r="A28" s="26"/>
      <c r="B28" s="26"/>
      <c r="C28" s="27"/>
      <c r="D28" s="27" t="s">
        <v>15</v>
      </c>
      <c r="E28" s="7" t="s">
        <v>31</v>
      </c>
      <c r="F28" s="7" t="s">
        <v>32</v>
      </c>
      <c r="G28" s="8">
        <f>834.94*1.18</f>
        <v>985.22919999999999</v>
      </c>
      <c r="H28" s="9">
        <v>0</v>
      </c>
      <c r="I28" s="27"/>
      <c r="J28" s="7">
        <f t="shared" si="2"/>
        <v>0</v>
      </c>
      <c r="K28" s="8">
        <f t="shared" si="3"/>
        <v>0</v>
      </c>
    </row>
    <row r="29" spans="1:11" x14ac:dyDescent="0.25">
      <c r="A29" s="6">
        <v>6</v>
      </c>
      <c r="B29" s="26" t="s">
        <v>33</v>
      </c>
      <c r="C29" s="27" t="s">
        <v>34</v>
      </c>
      <c r="D29" s="27"/>
      <c r="E29" s="7" t="s">
        <v>27</v>
      </c>
      <c r="F29" s="7" t="s">
        <v>35</v>
      </c>
      <c r="G29" s="8">
        <f>76.3*1.18</f>
        <v>90.033999999999992</v>
      </c>
      <c r="H29" s="9">
        <v>0</v>
      </c>
      <c r="I29" s="27"/>
      <c r="J29" s="7">
        <f t="shared" si="2"/>
        <v>0</v>
      </c>
      <c r="K29" s="8">
        <f t="shared" si="3"/>
        <v>0</v>
      </c>
    </row>
    <row r="30" spans="1:11" x14ac:dyDescent="0.25">
      <c r="A30" s="6">
        <v>7</v>
      </c>
      <c r="B30" s="26"/>
      <c r="C30" s="27"/>
      <c r="D30" s="27" t="s">
        <v>15</v>
      </c>
      <c r="E30" s="7" t="s">
        <v>29</v>
      </c>
      <c r="F30" s="7" t="s">
        <v>36</v>
      </c>
      <c r="G30" s="8">
        <f>134.07*1.18</f>
        <v>158.20259999999999</v>
      </c>
      <c r="H30" s="9">
        <v>57000</v>
      </c>
      <c r="I30" s="27"/>
      <c r="J30" s="7">
        <f t="shared" si="2"/>
        <v>57</v>
      </c>
      <c r="K30" s="8">
        <f t="shared" si="3"/>
        <v>9017.5481999999993</v>
      </c>
    </row>
    <row r="31" spans="1:11" x14ac:dyDescent="0.25">
      <c r="A31" s="6">
        <v>8</v>
      </c>
      <c r="B31" s="26"/>
      <c r="C31" s="27"/>
      <c r="D31" s="27"/>
      <c r="E31" s="7" t="s">
        <v>31</v>
      </c>
      <c r="F31" s="7" t="s">
        <v>37</v>
      </c>
      <c r="G31" s="8">
        <f>203.83*1.18</f>
        <v>240.51939999999999</v>
      </c>
      <c r="H31" s="9">
        <v>0</v>
      </c>
      <c r="I31" s="27"/>
      <c r="J31" s="7">
        <f t="shared" si="2"/>
        <v>0</v>
      </c>
      <c r="K31" s="8">
        <f t="shared" si="3"/>
        <v>0</v>
      </c>
    </row>
    <row r="32" spans="1:11" x14ac:dyDescent="0.25">
      <c r="A32" s="6">
        <v>7</v>
      </c>
      <c r="B32" s="7" t="s">
        <v>38</v>
      </c>
      <c r="C32" s="7" t="s">
        <v>39</v>
      </c>
      <c r="D32" s="7" t="s">
        <v>15</v>
      </c>
      <c r="E32" s="7"/>
      <c r="F32" s="7" t="s">
        <v>40</v>
      </c>
      <c r="G32" s="8">
        <f>54.5*1.18</f>
        <v>64.31</v>
      </c>
      <c r="H32" s="6" t="s">
        <v>16</v>
      </c>
      <c r="I32" s="11">
        <v>18450</v>
      </c>
      <c r="J32" s="8">
        <f>SUM(I32*1.2)/1000</f>
        <v>22.14</v>
      </c>
      <c r="K32" s="8">
        <f t="shared" si="3"/>
        <v>1423.8234</v>
      </c>
    </row>
    <row r="33" spans="1:11" ht="15.75" x14ac:dyDescent="0.25">
      <c r="A33" s="29" t="s">
        <v>41</v>
      </c>
      <c r="B33" s="29"/>
      <c r="C33" s="29"/>
      <c r="D33" s="29"/>
      <c r="E33" s="29"/>
      <c r="F33" s="29"/>
      <c r="G33" s="29"/>
      <c r="H33" s="29"/>
      <c r="I33" s="29"/>
      <c r="J33" s="29"/>
      <c r="K33" s="12">
        <f>SUM(K22:K32)</f>
        <v>106335.29879999998</v>
      </c>
    </row>
    <row r="34" spans="1:11" x14ac:dyDescent="0.25">
      <c r="A34" s="3"/>
      <c r="B34" s="3"/>
      <c r="C34" s="3"/>
      <c r="D34" s="3"/>
      <c r="E34" s="3"/>
      <c r="F34" s="3"/>
      <c r="G34" s="4"/>
      <c r="H34" s="3"/>
      <c r="I34" s="3"/>
      <c r="J34" s="3"/>
      <c r="K34" s="4"/>
    </row>
    <row r="35" spans="1:11" ht="17.25" x14ac:dyDescent="0.25">
      <c r="A35" s="30" t="s">
        <v>43</v>
      </c>
      <c r="B35" s="30"/>
      <c r="C35" s="30"/>
      <c r="D35" s="30"/>
      <c r="E35" s="30"/>
      <c r="F35" s="30"/>
      <c r="G35" s="30"/>
      <c r="H35" s="30"/>
      <c r="I35" s="30"/>
      <c r="J35" s="30"/>
      <c r="K35" s="5"/>
    </row>
    <row r="36" spans="1:11" x14ac:dyDescent="0.25">
      <c r="A36" s="26" t="s">
        <v>1</v>
      </c>
      <c r="B36" s="26" t="s">
        <v>2</v>
      </c>
      <c r="C36" s="26" t="s">
        <v>3</v>
      </c>
      <c r="D36" s="26" t="s">
        <v>4</v>
      </c>
      <c r="E36" s="26" t="s">
        <v>5</v>
      </c>
      <c r="F36" s="26" t="s">
        <v>6</v>
      </c>
      <c r="G36" s="28" t="s">
        <v>7</v>
      </c>
      <c r="H36" s="26" t="s">
        <v>8</v>
      </c>
      <c r="I36" s="26"/>
      <c r="J36" s="26"/>
      <c r="K36" s="28" t="s">
        <v>9</v>
      </c>
    </row>
    <row r="37" spans="1:11" x14ac:dyDescent="0.25">
      <c r="A37" s="26"/>
      <c r="B37" s="26"/>
      <c r="C37" s="26"/>
      <c r="D37" s="26"/>
      <c r="E37" s="26"/>
      <c r="F37" s="26"/>
      <c r="G37" s="28"/>
      <c r="H37" s="26"/>
      <c r="I37" s="26"/>
      <c r="J37" s="26"/>
      <c r="K37" s="28"/>
    </row>
    <row r="38" spans="1:11" ht="60" x14ac:dyDescent="0.25">
      <c r="A38" s="26"/>
      <c r="B38" s="26"/>
      <c r="C38" s="26"/>
      <c r="D38" s="26"/>
      <c r="E38" s="26"/>
      <c r="F38" s="26"/>
      <c r="G38" s="28"/>
      <c r="H38" s="6" t="s">
        <v>10</v>
      </c>
      <c r="I38" s="6" t="s">
        <v>11</v>
      </c>
      <c r="J38" s="6" t="s">
        <v>12</v>
      </c>
      <c r="K38" s="28"/>
    </row>
    <row r="39" spans="1:11" x14ac:dyDescent="0.25">
      <c r="A39" s="6">
        <v>1</v>
      </c>
      <c r="B39" s="6" t="s">
        <v>13</v>
      </c>
      <c r="C39" s="27" t="s">
        <v>14</v>
      </c>
      <c r="D39" s="27" t="s">
        <v>15</v>
      </c>
      <c r="E39" s="27" t="s">
        <v>16</v>
      </c>
      <c r="F39" s="6" t="s">
        <v>17</v>
      </c>
      <c r="G39" s="8">
        <f>444.72*1.18</f>
        <v>524.76959999999997</v>
      </c>
      <c r="H39" s="9">
        <v>60000</v>
      </c>
      <c r="I39" s="27" t="s">
        <v>16</v>
      </c>
      <c r="J39" s="7">
        <f t="shared" ref="J39:J48" si="4">SUM(H39)/1000</f>
        <v>60</v>
      </c>
      <c r="K39" s="8">
        <f t="shared" ref="K39:K49" si="5">SUM(G39*J39)</f>
        <v>31486.175999999999</v>
      </c>
    </row>
    <row r="40" spans="1:11" x14ac:dyDescent="0.25">
      <c r="A40" s="6">
        <v>2</v>
      </c>
      <c r="B40" s="6" t="s">
        <v>18</v>
      </c>
      <c r="C40" s="27"/>
      <c r="D40" s="27"/>
      <c r="E40" s="27"/>
      <c r="F40" s="6" t="s">
        <v>19</v>
      </c>
      <c r="G40" s="8">
        <f>204.92*1.18</f>
        <v>241.80559999999997</v>
      </c>
      <c r="H40" s="9">
        <v>60000</v>
      </c>
      <c r="I40" s="27"/>
      <c r="J40" s="7">
        <f t="shared" si="4"/>
        <v>60</v>
      </c>
      <c r="K40" s="8">
        <f t="shared" si="5"/>
        <v>14508.335999999998</v>
      </c>
    </row>
    <row r="41" spans="1:11" x14ac:dyDescent="0.25">
      <c r="A41" s="6">
        <v>3</v>
      </c>
      <c r="B41" s="6" t="s">
        <v>20</v>
      </c>
      <c r="C41" s="27" t="s">
        <v>21</v>
      </c>
      <c r="D41" s="27" t="s">
        <v>15</v>
      </c>
      <c r="E41" s="27" t="s">
        <v>16</v>
      </c>
      <c r="F41" s="6" t="s">
        <v>22</v>
      </c>
      <c r="G41" s="8">
        <f>116.63*1.18</f>
        <v>137.62339999999998</v>
      </c>
      <c r="H41" s="9">
        <v>60000</v>
      </c>
      <c r="I41" s="27"/>
      <c r="J41" s="7">
        <f t="shared" si="4"/>
        <v>60</v>
      </c>
      <c r="K41" s="8">
        <f t="shared" si="5"/>
        <v>8257.4039999999986</v>
      </c>
    </row>
    <row r="42" spans="1:11" x14ac:dyDescent="0.25">
      <c r="A42" s="6">
        <v>4</v>
      </c>
      <c r="B42" s="6" t="s">
        <v>23</v>
      </c>
      <c r="C42" s="27"/>
      <c r="D42" s="27"/>
      <c r="E42" s="27"/>
      <c r="F42" s="10" t="s">
        <v>24</v>
      </c>
      <c r="G42" s="8">
        <f>104.64*1.18</f>
        <v>123.4752</v>
      </c>
      <c r="H42" s="9">
        <v>60000</v>
      </c>
      <c r="I42" s="27"/>
      <c r="J42" s="7">
        <f t="shared" si="4"/>
        <v>60</v>
      </c>
      <c r="K42" s="8">
        <f t="shared" si="5"/>
        <v>7408.5119999999997</v>
      </c>
    </row>
    <row r="43" spans="1:11" x14ac:dyDescent="0.25">
      <c r="A43" s="26">
        <v>5</v>
      </c>
      <c r="B43" s="26" t="s">
        <v>25</v>
      </c>
      <c r="C43" s="27" t="s">
        <v>26</v>
      </c>
      <c r="D43" s="27" t="s">
        <v>15</v>
      </c>
      <c r="E43" s="7" t="s">
        <v>27</v>
      </c>
      <c r="F43" s="7" t="s">
        <v>28</v>
      </c>
      <c r="G43" s="8">
        <f>332.45*1.18</f>
        <v>392.29099999999994</v>
      </c>
      <c r="H43" s="9">
        <v>0</v>
      </c>
      <c r="I43" s="27"/>
      <c r="J43" s="7">
        <f t="shared" si="4"/>
        <v>0</v>
      </c>
      <c r="K43" s="8">
        <f t="shared" si="5"/>
        <v>0</v>
      </c>
    </row>
    <row r="44" spans="1:11" x14ac:dyDescent="0.25">
      <c r="A44" s="26"/>
      <c r="B44" s="26"/>
      <c r="C44" s="27"/>
      <c r="D44" s="27"/>
      <c r="E44" s="7" t="s">
        <v>29</v>
      </c>
      <c r="F44" s="7" t="s">
        <v>30</v>
      </c>
      <c r="G44" s="8">
        <f>554.81*1.18</f>
        <v>654.67579999999987</v>
      </c>
      <c r="H44" s="9">
        <v>60000</v>
      </c>
      <c r="I44" s="27"/>
      <c r="J44" s="7">
        <f t="shared" si="4"/>
        <v>60</v>
      </c>
      <c r="K44" s="8">
        <f t="shared" si="5"/>
        <v>39280.547999999995</v>
      </c>
    </row>
    <row r="45" spans="1:11" x14ac:dyDescent="0.25">
      <c r="A45" s="26"/>
      <c r="B45" s="26"/>
      <c r="C45" s="27"/>
      <c r="D45" s="27" t="s">
        <v>15</v>
      </c>
      <c r="E45" s="7" t="s">
        <v>31</v>
      </c>
      <c r="F45" s="7" t="s">
        <v>32</v>
      </c>
      <c r="G45" s="8">
        <f>834.94*1.18</f>
        <v>985.22919999999999</v>
      </c>
      <c r="H45" s="9">
        <v>0</v>
      </c>
      <c r="I45" s="27"/>
      <c r="J45" s="7">
        <f t="shared" si="4"/>
        <v>0</v>
      </c>
      <c r="K45" s="8">
        <f t="shared" si="5"/>
        <v>0</v>
      </c>
    </row>
    <row r="46" spans="1:11" x14ac:dyDescent="0.25">
      <c r="A46" s="26">
        <v>6</v>
      </c>
      <c r="B46" s="26" t="s">
        <v>33</v>
      </c>
      <c r="C46" s="27" t="s">
        <v>34</v>
      </c>
      <c r="D46" s="27"/>
      <c r="E46" s="7" t="s">
        <v>27</v>
      </c>
      <c r="F46" s="7" t="s">
        <v>35</v>
      </c>
      <c r="G46" s="8">
        <f>76.3*1.18</f>
        <v>90.033999999999992</v>
      </c>
      <c r="H46" s="9">
        <v>0</v>
      </c>
      <c r="I46" s="27"/>
      <c r="J46" s="7">
        <f t="shared" si="4"/>
        <v>0</v>
      </c>
      <c r="K46" s="8">
        <f t="shared" si="5"/>
        <v>0</v>
      </c>
    </row>
    <row r="47" spans="1:11" x14ac:dyDescent="0.25">
      <c r="A47" s="26">
        <v>7</v>
      </c>
      <c r="B47" s="26"/>
      <c r="C47" s="27"/>
      <c r="D47" s="27" t="s">
        <v>15</v>
      </c>
      <c r="E47" s="7" t="s">
        <v>29</v>
      </c>
      <c r="F47" s="7" t="s">
        <v>36</v>
      </c>
      <c r="G47" s="8">
        <f>134.07*1.18</f>
        <v>158.20259999999999</v>
      </c>
      <c r="H47" s="9">
        <v>60000</v>
      </c>
      <c r="I47" s="27"/>
      <c r="J47" s="7">
        <f t="shared" si="4"/>
        <v>60</v>
      </c>
      <c r="K47" s="8">
        <f t="shared" si="5"/>
        <v>9492.155999999999</v>
      </c>
    </row>
    <row r="48" spans="1:11" x14ac:dyDescent="0.25">
      <c r="A48" s="26">
        <v>8</v>
      </c>
      <c r="B48" s="26"/>
      <c r="C48" s="27"/>
      <c r="D48" s="27"/>
      <c r="E48" s="7" t="s">
        <v>31</v>
      </c>
      <c r="F48" s="7" t="s">
        <v>37</v>
      </c>
      <c r="G48" s="8">
        <f>203.83*1.18</f>
        <v>240.51939999999999</v>
      </c>
      <c r="H48" s="9">
        <v>0</v>
      </c>
      <c r="I48" s="27"/>
      <c r="J48" s="7">
        <f t="shared" si="4"/>
        <v>0</v>
      </c>
      <c r="K48" s="8">
        <f t="shared" si="5"/>
        <v>0</v>
      </c>
    </row>
    <row r="49" spans="1:11" x14ac:dyDescent="0.25">
      <c r="A49" s="6">
        <v>7</v>
      </c>
      <c r="B49" s="7" t="s">
        <v>38</v>
      </c>
      <c r="C49" s="7" t="s">
        <v>39</v>
      </c>
      <c r="D49" s="7" t="s">
        <v>15</v>
      </c>
      <c r="E49" s="7"/>
      <c r="F49" s="7" t="s">
        <v>40</v>
      </c>
      <c r="G49" s="8">
        <f>54.5*1.18</f>
        <v>64.31</v>
      </c>
      <c r="H49" s="6" t="s">
        <v>16</v>
      </c>
      <c r="I49" s="11">
        <v>18450</v>
      </c>
      <c r="J49" s="8">
        <f>SUM(I49*1.2)/1000</f>
        <v>22.14</v>
      </c>
      <c r="K49" s="8">
        <f t="shared" si="5"/>
        <v>1423.8234</v>
      </c>
    </row>
    <row r="50" spans="1:11" ht="15.75" x14ac:dyDescent="0.25">
      <c r="A50" s="29" t="s">
        <v>41</v>
      </c>
      <c r="B50" s="29"/>
      <c r="C50" s="29"/>
      <c r="D50" s="29"/>
      <c r="E50" s="29"/>
      <c r="F50" s="29"/>
      <c r="G50" s="29"/>
      <c r="H50" s="29"/>
      <c r="I50" s="29"/>
      <c r="J50" s="29"/>
      <c r="K50" s="12">
        <f>SUM(K39:K49)</f>
        <v>111856.95539999999</v>
      </c>
    </row>
    <row r="51" spans="1:11" x14ac:dyDescent="0.25">
      <c r="A51" s="3"/>
      <c r="B51" s="3"/>
      <c r="C51" s="3"/>
      <c r="D51" s="3"/>
      <c r="E51" s="3"/>
      <c r="F51" s="3"/>
      <c r="G51" s="4"/>
      <c r="H51" s="3"/>
      <c r="I51" s="3"/>
      <c r="J51" s="3"/>
      <c r="K51" s="4"/>
    </row>
    <row r="52" spans="1:11" ht="17.25" x14ac:dyDescent="0.25">
      <c r="A52" s="30" t="s">
        <v>44</v>
      </c>
      <c r="B52" s="30"/>
      <c r="C52" s="30"/>
      <c r="D52" s="30"/>
      <c r="E52" s="30"/>
      <c r="F52" s="30"/>
      <c r="G52" s="30"/>
      <c r="H52" s="30"/>
      <c r="I52" s="30"/>
      <c r="J52" s="30"/>
      <c r="K52" s="5"/>
    </row>
    <row r="53" spans="1:11" x14ac:dyDescent="0.25">
      <c r="A53" s="26" t="s">
        <v>1</v>
      </c>
      <c r="B53" s="26" t="s">
        <v>2</v>
      </c>
      <c r="C53" s="26" t="s">
        <v>3</v>
      </c>
      <c r="D53" s="26" t="s">
        <v>4</v>
      </c>
      <c r="E53" s="26" t="s">
        <v>5</v>
      </c>
      <c r="F53" s="26" t="s">
        <v>6</v>
      </c>
      <c r="G53" s="28" t="s">
        <v>7</v>
      </c>
      <c r="H53" s="26" t="s">
        <v>8</v>
      </c>
      <c r="I53" s="26"/>
      <c r="J53" s="26"/>
      <c r="K53" s="28" t="s">
        <v>9</v>
      </c>
    </row>
    <row r="54" spans="1:11" x14ac:dyDescent="0.25">
      <c r="A54" s="26"/>
      <c r="B54" s="26"/>
      <c r="C54" s="26"/>
      <c r="D54" s="26"/>
      <c r="E54" s="26"/>
      <c r="F54" s="26"/>
      <c r="G54" s="28"/>
      <c r="H54" s="26"/>
      <c r="I54" s="26"/>
      <c r="J54" s="26"/>
      <c r="K54" s="28"/>
    </row>
    <row r="55" spans="1:11" ht="60" x14ac:dyDescent="0.25">
      <c r="A55" s="26"/>
      <c r="B55" s="26"/>
      <c r="C55" s="26"/>
      <c r="D55" s="26"/>
      <c r="E55" s="26"/>
      <c r="F55" s="26"/>
      <c r="G55" s="28"/>
      <c r="H55" s="6" t="s">
        <v>10</v>
      </c>
      <c r="I55" s="6" t="s">
        <v>11</v>
      </c>
      <c r="J55" s="6" t="s">
        <v>12</v>
      </c>
      <c r="K55" s="28"/>
    </row>
    <row r="56" spans="1:11" x14ac:dyDescent="0.25">
      <c r="A56" s="6">
        <v>1</v>
      </c>
      <c r="B56" s="6" t="s">
        <v>13</v>
      </c>
      <c r="C56" s="27" t="s">
        <v>14</v>
      </c>
      <c r="D56" s="27" t="s">
        <v>15</v>
      </c>
      <c r="E56" s="27" t="s">
        <v>16</v>
      </c>
      <c r="F56" s="6" t="s">
        <v>17</v>
      </c>
      <c r="G56" s="8">
        <f>444.72*1.18</f>
        <v>524.76959999999997</v>
      </c>
      <c r="H56" s="9">
        <v>17000</v>
      </c>
      <c r="I56" s="27" t="s">
        <v>16</v>
      </c>
      <c r="J56" s="7">
        <f t="shared" ref="J56:J65" si="6">SUM(H56)/1000</f>
        <v>17</v>
      </c>
      <c r="K56" s="8">
        <f t="shared" ref="K56:K66" si="7">SUM(G56*J56)</f>
        <v>8921.0831999999991</v>
      </c>
    </row>
    <row r="57" spans="1:11" x14ac:dyDescent="0.25">
      <c r="A57" s="6">
        <v>2</v>
      </c>
      <c r="B57" s="6" t="s">
        <v>18</v>
      </c>
      <c r="C57" s="27"/>
      <c r="D57" s="27"/>
      <c r="E57" s="27"/>
      <c r="F57" s="6" t="s">
        <v>19</v>
      </c>
      <c r="G57" s="8">
        <f>204.92*1.18</f>
        <v>241.80559999999997</v>
      </c>
      <c r="H57" s="9">
        <v>17000</v>
      </c>
      <c r="I57" s="27"/>
      <c r="J57" s="7">
        <f t="shared" si="6"/>
        <v>17</v>
      </c>
      <c r="K57" s="8">
        <f t="shared" si="7"/>
        <v>4110.6951999999992</v>
      </c>
    </row>
    <row r="58" spans="1:11" x14ac:dyDescent="0.25">
      <c r="A58" s="6">
        <v>3</v>
      </c>
      <c r="B58" s="6" t="s">
        <v>20</v>
      </c>
      <c r="C58" s="27" t="s">
        <v>21</v>
      </c>
      <c r="D58" s="27" t="s">
        <v>15</v>
      </c>
      <c r="E58" s="27" t="s">
        <v>16</v>
      </c>
      <c r="F58" s="6" t="s">
        <v>22</v>
      </c>
      <c r="G58" s="8">
        <f>116.63*1.18</f>
        <v>137.62339999999998</v>
      </c>
      <c r="H58" s="9">
        <v>17000</v>
      </c>
      <c r="I58" s="27"/>
      <c r="J58" s="7">
        <f t="shared" si="6"/>
        <v>17</v>
      </c>
      <c r="K58" s="8">
        <f t="shared" si="7"/>
        <v>2339.5977999999996</v>
      </c>
    </row>
    <row r="59" spans="1:11" x14ac:dyDescent="0.25">
      <c r="A59" s="6">
        <v>4</v>
      </c>
      <c r="B59" s="6" t="s">
        <v>23</v>
      </c>
      <c r="C59" s="27"/>
      <c r="D59" s="27"/>
      <c r="E59" s="27"/>
      <c r="F59" s="10" t="s">
        <v>24</v>
      </c>
      <c r="G59" s="8">
        <f>104.64*1.18</f>
        <v>123.4752</v>
      </c>
      <c r="H59" s="9">
        <v>17000</v>
      </c>
      <c r="I59" s="27"/>
      <c r="J59" s="7">
        <f t="shared" si="6"/>
        <v>17</v>
      </c>
      <c r="K59" s="8">
        <f t="shared" si="7"/>
        <v>2099.0783999999999</v>
      </c>
    </row>
    <row r="60" spans="1:11" x14ac:dyDescent="0.25">
      <c r="A60" s="26">
        <v>5</v>
      </c>
      <c r="B60" s="26" t="s">
        <v>25</v>
      </c>
      <c r="C60" s="27" t="s">
        <v>26</v>
      </c>
      <c r="D60" s="27" t="s">
        <v>15</v>
      </c>
      <c r="E60" s="7" t="s">
        <v>27</v>
      </c>
      <c r="F60" s="7" t="s">
        <v>28</v>
      </c>
      <c r="G60" s="8">
        <f>332.45*1.18</f>
        <v>392.29099999999994</v>
      </c>
      <c r="H60" s="9">
        <v>0</v>
      </c>
      <c r="I60" s="27"/>
      <c r="J60" s="7">
        <f t="shared" si="6"/>
        <v>0</v>
      </c>
      <c r="K60" s="8">
        <f t="shared" si="7"/>
        <v>0</v>
      </c>
    </row>
    <row r="61" spans="1:11" x14ac:dyDescent="0.25">
      <c r="A61" s="26"/>
      <c r="B61" s="26"/>
      <c r="C61" s="27"/>
      <c r="D61" s="27"/>
      <c r="E61" s="7" t="s">
        <v>29</v>
      </c>
      <c r="F61" s="7" t="s">
        <v>30</v>
      </c>
      <c r="G61" s="8">
        <f>554.81*1.18</f>
        <v>654.67579999999987</v>
      </c>
      <c r="H61" s="9">
        <v>17000</v>
      </c>
      <c r="I61" s="27"/>
      <c r="J61" s="7">
        <f t="shared" si="6"/>
        <v>17</v>
      </c>
      <c r="K61" s="8">
        <f t="shared" si="7"/>
        <v>11129.488599999997</v>
      </c>
    </row>
    <row r="62" spans="1:11" x14ac:dyDescent="0.25">
      <c r="A62" s="26"/>
      <c r="B62" s="26"/>
      <c r="C62" s="27"/>
      <c r="D62" s="27" t="s">
        <v>15</v>
      </c>
      <c r="E62" s="7" t="s">
        <v>31</v>
      </c>
      <c r="F62" s="7" t="s">
        <v>32</v>
      </c>
      <c r="G62" s="8">
        <f>834.94*1.18</f>
        <v>985.22919999999999</v>
      </c>
      <c r="H62" s="9">
        <v>0</v>
      </c>
      <c r="I62" s="27"/>
      <c r="J62" s="7">
        <f t="shared" si="6"/>
        <v>0</v>
      </c>
      <c r="K62" s="8">
        <f t="shared" si="7"/>
        <v>0</v>
      </c>
    </row>
    <row r="63" spans="1:11" x14ac:dyDescent="0.25">
      <c r="A63" s="26">
        <v>6</v>
      </c>
      <c r="B63" s="26" t="s">
        <v>33</v>
      </c>
      <c r="C63" s="27" t="s">
        <v>34</v>
      </c>
      <c r="D63" s="27"/>
      <c r="E63" s="7" t="s">
        <v>27</v>
      </c>
      <c r="F63" s="7" t="s">
        <v>35</v>
      </c>
      <c r="G63" s="8">
        <f>76.3*1.18</f>
        <v>90.033999999999992</v>
      </c>
      <c r="H63" s="9">
        <v>0</v>
      </c>
      <c r="I63" s="27"/>
      <c r="J63" s="7">
        <f t="shared" si="6"/>
        <v>0</v>
      </c>
      <c r="K63" s="8">
        <f t="shared" si="7"/>
        <v>0</v>
      </c>
    </row>
    <row r="64" spans="1:11" x14ac:dyDescent="0.25">
      <c r="A64" s="26">
        <v>7</v>
      </c>
      <c r="B64" s="26"/>
      <c r="C64" s="27"/>
      <c r="D64" s="27" t="s">
        <v>15</v>
      </c>
      <c r="E64" s="7" t="s">
        <v>29</v>
      </c>
      <c r="F64" s="7" t="s">
        <v>36</v>
      </c>
      <c r="G64" s="8">
        <f>134.07*1.18</f>
        <v>158.20259999999999</v>
      </c>
      <c r="H64" s="9">
        <v>17000</v>
      </c>
      <c r="I64" s="27"/>
      <c r="J64" s="7">
        <f t="shared" si="6"/>
        <v>17</v>
      </c>
      <c r="K64" s="8">
        <f t="shared" si="7"/>
        <v>2689.4441999999999</v>
      </c>
    </row>
    <row r="65" spans="1:11" x14ac:dyDescent="0.25">
      <c r="A65" s="26">
        <v>8</v>
      </c>
      <c r="B65" s="26"/>
      <c r="C65" s="27"/>
      <c r="D65" s="27"/>
      <c r="E65" s="7" t="s">
        <v>31</v>
      </c>
      <c r="F65" s="7" t="s">
        <v>37</v>
      </c>
      <c r="G65" s="8">
        <f>203.83*1.18</f>
        <v>240.51939999999999</v>
      </c>
      <c r="H65" s="9">
        <v>0</v>
      </c>
      <c r="I65" s="27"/>
      <c r="J65" s="7">
        <f t="shared" si="6"/>
        <v>0</v>
      </c>
      <c r="K65" s="8">
        <f t="shared" si="7"/>
        <v>0</v>
      </c>
    </row>
    <row r="66" spans="1:11" x14ac:dyDescent="0.25">
      <c r="A66" s="6">
        <v>7</v>
      </c>
      <c r="B66" s="7" t="s">
        <v>38</v>
      </c>
      <c r="C66" s="7" t="s">
        <v>39</v>
      </c>
      <c r="D66" s="7" t="s">
        <v>15</v>
      </c>
      <c r="E66" s="7"/>
      <c r="F66" s="7" t="s">
        <v>40</v>
      </c>
      <c r="G66" s="8">
        <f>54.5*1.18</f>
        <v>64.31</v>
      </c>
      <c r="H66" s="6" t="s">
        <v>16</v>
      </c>
      <c r="I66" s="11">
        <v>18495</v>
      </c>
      <c r="J66" s="8">
        <f>SUM(I66*1.2)/1000</f>
        <v>22.193999999999999</v>
      </c>
      <c r="K66" s="8">
        <f t="shared" si="7"/>
        <v>1427.2961399999999</v>
      </c>
    </row>
    <row r="67" spans="1:11" ht="15.75" x14ac:dyDescent="0.25">
      <c r="A67" s="29" t="s">
        <v>41</v>
      </c>
      <c r="B67" s="29"/>
      <c r="C67" s="29"/>
      <c r="D67" s="29"/>
      <c r="E67" s="29"/>
      <c r="F67" s="29"/>
      <c r="G67" s="29"/>
      <c r="H67" s="29"/>
      <c r="I67" s="29"/>
      <c r="J67" s="29"/>
      <c r="K67" s="12">
        <f>SUM(K56:K66)</f>
        <v>32716.683539999991</v>
      </c>
    </row>
    <row r="68" spans="1:11" x14ac:dyDescent="0.25">
      <c r="A68" s="3"/>
      <c r="B68" s="3"/>
      <c r="C68" s="3"/>
      <c r="D68" s="3"/>
      <c r="E68" s="3"/>
      <c r="F68" s="3"/>
      <c r="G68" s="4"/>
      <c r="H68" s="3"/>
      <c r="I68" s="3"/>
      <c r="J68" s="3"/>
      <c r="K68" s="4"/>
    </row>
    <row r="69" spans="1:11" ht="17.25" x14ac:dyDescent="0.25">
      <c r="A69" s="30" t="s">
        <v>45</v>
      </c>
      <c r="B69" s="30"/>
      <c r="C69" s="30"/>
      <c r="D69" s="30"/>
      <c r="E69" s="30"/>
      <c r="F69" s="30"/>
      <c r="G69" s="30"/>
      <c r="H69" s="30"/>
      <c r="I69" s="30"/>
      <c r="J69" s="30"/>
      <c r="K69" s="5"/>
    </row>
    <row r="70" spans="1:11" x14ac:dyDescent="0.25">
      <c r="A70" s="26" t="s">
        <v>1</v>
      </c>
      <c r="B70" s="26" t="s">
        <v>2</v>
      </c>
      <c r="C70" s="26" t="s">
        <v>3</v>
      </c>
      <c r="D70" s="26" t="s">
        <v>4</v>
      </c>
      <c r="E70" s="26" t="s">
        <v>5</v>
      </c>
      <c r="F70" s="26" t="s">
        <v>6</v>
      </c>
      <c r="G70" s="28" t="s">
        <v>7</v>
      </c>
      <c r="H70" s="26" t="s">
        <v>8</v>
      </c>
      <c r="I70" s="26"/>
      <c r="J70" s="26"/>
      <c r="K70" s="28" t="s">
        <v>9</v>
      </c>
    </row>
    <row r="71" spans="1:11" x14ac:dyDescent="0.25">
      <c r="A71" s="26"/>
      <c r="B71" s="26"/>
      <c r="C71" s="26"/>
      <c r="D71" s="26"/>
      <c r="E71" s="26"/>
      <c r="F71" s="26"/>
      <c r="G71" s="28"/>
      <c r="H71" s="26"/>
      <c r="I71" s="26"/>
      <c r="J71" s="26"/>
      <c r="K71" s="28"/>
    </row>
    <row r="72" spans="1:11" ht="60" x14ac:dyDescent="0.25">
      <c r="A72" s="26"/>
      <c r="B72" s="26"/>
      <c r="C72" s="26"/>
      <c r="D72" s="26"/>
      <c r="E72" s="26"/>
      <c r="F72" s="26"/>
      <c r="G72" s="28"/>
      <c r="H72" s="6" t="s">
        <v>10</v>
      </c>
      <c r="I72" s="6" t="s">
        <v>11</v>
      </c>
      <c r="J72" s="6" t="s">
        <v>12</v>
      </c>
      <c r="K72" s="28"/>
    </row>
    <row r="73" spans="1:11" x14ac:dyDescent="0.25">
      <c r="A73" s="6">
        <v>1</v>
      </c>
      <c r="B73" s="6" t="s">
        <v>13</v>
      </c>
      <c r="C73" s="27" t="s">
        <v>14</v>
      </c>
      <c r="D73" s="27" t="s">
        <v>15</v>
      </c>
      <c r="E73" s="27" t="s">
        <v>16</v>
      </c>
      <c r="F73" s="6" t="s">
        <v>17</v>
      </c>
      <c r="G73" s="8">
        <f>444.72*1.18</f>
        <v>524.76959999999997</v>
      </c>
      <c r="H73" s="9">
        <v>15000</v>
      </c>
      <c r="I73" s="27" t="s">
        <v>16</v>
      </c>
      <c r="J73" s="7">
        <f t="shared" ref="J73:J82" si="8">SUM(H73)/1000</f>
        <v>15</v>
      </c>
      <c r="K73" s="8">
        <f t="shared" ref="K73:K83" si="9">SUM(G73*J73)</f>
        <v>7871.5439999999999</v>
      </c>
    </row>
    <row r="74" spans="1:11" x14ac:dyDescent="0.25">
      <c r="A74" s="6">
        <v>2</v>
      </c>
      <c r="B74" s="6" t="s">
        <v>18</v>
      </c>
      <c r="C74" s="27"/>
      <c r="D74" s="27"/>
      <c r="E74" s="27"/>
      <c r="F74" s="6" t="s">
        <v>19</v>
      </c>
      <c r="G74" s="8">
        <f>204.92*1.18</f>
        <v>241.80559999999997</v>
      </c>
      <c r="H74" s="9">
        <v>15000</v>
      </c>
      <c r="I74" s="27"/>
      <c r="J74" s="7">
        <f t="shared" si="8"/>
        <v>15</v>
      </c>
      <c r="K74" s="8">
        <f t="shared" si="9"/>
        <v>3627.0839999999994</v>
      </c>
    </row>
    <row r="75" spans="1:11" x14ac:dyDescent="0.25">
      <c r="A75" s="6">
        <v>3</v>
      </c>
      <c r="B75" s="6" t="s">
        <v>20</v>
      </c>
      <c r="C75" s="27" t="s">
        <v>21</v>
      </c>
      <c r="D75" s="27" t="s">
        <v>15</v>
      </c>
      <c r="E75" s="27" t="s">
        <v>16</v>
      </c>
      <c r="F75" s="6" t="s">
        <v>22</v>
      </c>
      <c r="G75" s="8">
        <f>116.63*1.18</f>
        <v>137.62339999999998</v>
      </c>
      <c r="H75" s="9">
        <v>15000</v>
      </c>
      <c r="I75" s="27"/>
      <c r="J75" s="7">
        <f t="shared" si="8"/>
        <v>15</v>
      </c>
      <c r="K75" s="8">
        <f t="shared" si="9"/>
        <v>2064.3509999999997</v>
      </c>
    </row>
    <row r="76" spans="1:11" x14ac:dyDescent="0.25">
      <c r="A76" s="6">
        <v>4</v>
      </c>
      <c r="B76" s="6" t="s">
        <v>23</v>
      </c>
      <c r="C76" s="27"/>
      <c r="D76" s="27"/>
      <c r="E76" s="27"/>
      <c r="F76" s="10" t="s">
        <v>24</v>
      </c>
      <c r="G76" s="8">
        <f>104.64*1.18</f>
        <v>123.4752</v>
      </c>
      <c r="H76" s="9">
        <v>15000</v>
      </c>
      <c r="I76" s="27"/>
      <c r="J76" s="7">
        <f t="shared" si="8"/>
        <v>15</v>
      </c>
      <c r="K76" s="8">
        <f t="shared" si="9"/>
        <v>1852.1279999999999</v>
      </c>
    </row>
    <row r="77" spans="1:11" x14ac:dyDescent="0.25">
      <c r="A77" s="26">
        <v>5</v>
      </c>
      <c r="B77" s="26" t="s">
        <v>25</v>
      </c>
      <c r="C77" s="27" t="s">
        <v>26</v>
      </c>
      <c r="D77" s="27" t="s">
        <v>15</v>
      </c>
      <c r="E77" s="7" t="s">
        <v>27</v>
      </c>
      <c r="F77" s="7" t="s">
        <v>28</v>
      </c>
      <c r="G77" s="8">
        <f>332.45*1.18</f>
        <v>392.29099999999994</v>
      </c>
      <c r="H77" s="9">
        <v>0</v>
      </c>
      <c r="I77" s="27"/>
      <c r="J77" s="7">
        <f t="shared" si="8"/>
        <v>0</v>
      </c>
      <c r="K77" s="8">
        <f t="shared" si="9"/>
        <v>0</v>
      </c>
    </row>
    <row r="78" spans="1:11" x14ac:dyDescent="0.25">
      <c r="A78" s="26"/>
      <c r="B78" s="26"/>
      <c r="C78" s="27"/>
      <c r="D78" s="27"/>
      <c r="E78" s="7" t="s">
        <v>29</v>
      </c>
      <c r="F78" s="7" t="s">
        <v>30</v>
      </c>
      <c r="G78" s="8">
        <f>554.81*1.18</f>
        <v>654.67579999999987</v>
      </c>
      <c r="H78" s="9">
        <v>15000</v>
      </c>
      <c r="I78" s="27"/>
      <c r="J78" s="7">
        <f t="shared" si="8"/>
        <v>15</v>
      </c>
      <c r="K78" s="8">
        <f t="shared" si="9"/>
        <v>9820.1369999999988</v>
      </c>
    </row>
    <row r="79" spans="1:11" x14ac:dyDescent="0.25">
      <c r="A79" s="26"/>
      <c r="B79" s="26"/>
      <c r="C79" s="27"/>
      <c r="D79" s="27" t="s">
        <v>15</v>
      </c>
      <c r="E79" s="7" t="s">
        <v>31</v>
      </c>
      <c r="F79" s="7" t="s">
        <v>32</v>
      </c>
      <c r="G79" s="8">
        <f>834.94*1.18</f>
        <v>985.22919999999999</v>
      </c>
      <c r="H79" s="9">
        <v>0</v>
      </c>
      <c r="I79" s="27"/>
      <c r="J79" s="7">
        <f t="shared" si="8"/>
        <v>0</v>
      </c>
      <c r="K79" s="8">
        <f t="shared" si="9"/>
        <v>0</v>
      </c>
    </row>
    <row r="80" spans="1:11" x14ac:dyDescent="0.25">
      <c r="A80" s="26">
        <v>6</v>
      </c>
      <c r="B80" s="26" t="s">
        <v>33</v>
      </c>
      <c r="C80" s="27" t="s">
        <v>34</v>
      </c>
      <c r="D80" s="27"/>
      <c r="E80" s="7" t="s">
        <v>27</v>
      </c>
      <c r="F80" s="7" t="s">
        <v>35</v>
      </c>
      <c r="G80" s="8">
        <f>76.3*1.18</f>
        <v>90.033999999999992</v>
      </c>
      <c r="H80" s="9">
        <v>0</v>
      </c>
      <c r="I80" s="27"/>
      <c r="J80" s="7">
        <f t="shared" si="8"/>
        <v>0</v>
      </c>
      <c r="K80" s="8">
        <f t="shared" si="9"/>
        <v>0</v>
      </c>
    </row>
    <row r="81" spans="1:11" x14ac:dyDescent="0.25">
      <c r="A81" s="26">
        <v>7</v>
      </c>
      <c r="B81" s="26"/>
      <c r="C81" s="27"/>
      <c r="D81" s="27" t="s">
        <v>15</v>
      </c>
      <c r="E81" s="7" t="s">
        <v>29</v>
      </c>
      <c r="F81" s="7" t="s">
        <v>36</v>
      </c>
      <c r="G81" s="8">
        <f>134.07*1.18</f>
        <v>158.20259999999999</v>
      </c>
      <c r="H81" s="9">
        <v>15000</v>
      </c>
      <c r="I81" s="27"/>
      <c r="J81" s="7">
        <f t="shared" si="8"/>
        <v>15</v>
      </c>
      <c r="K81" s="8">
        <f t="shared" si="9"/>
        <v>2373.0389999999998</v>
      </c>
    </row>
    <row r="82" spans="1:11" x14ac:dyDescent="0.25">
      <c r="A82" s="26">
        <v>8</v>
      </c>
      <c r="B82" s="26"/>
      <c r="C82" s="27"/>
      <c r="D82" s="27"/>
      <c r="E82" s="7" t="s">
        <v>31</v>
      </c>
      <c r="F82" s="7" t="s">
        <v>37</v>
      </c>
      <c r="G82" s="8">
        <f>203.83*1.18</f>
        <v>240.51939999999999</v>
      </c>
      <c r="H82" s="9">
        <v>0</v>
      </c>
      <c r="I82" s="27"/>
      <c r="J82" s="7">
        <f t="shared" si="8"/>
        <v>0</v>
      </c>
      <c r="K82" s="8">
        <f t="shared" si="9"/>
        <v>0</v>
      </c>
    </row>
    <row r="83" spans="1:11" x14ac:dyDescent="0.25">
      <c r="A83" s="6">
        <v>7</v>
      </c>
      <c r="B83" s="7" t="s">
        <v>38</v>
      </c>
      <c r="C83" s="7" t="s">
        <v>39</v>
      </c>
      <c r="D83" s="7" t="s">
        <v>15</v>
      </c>
      <c r="E83" s="7"/>
      <c r="F83" s="7" t="s">
        <v>40</v>
      </c>
      <c r="G83" s="8">
        <f>54.5*1.18</f>
        <v>64.31</v>
      </c>
      <c r="H83" s="6" t="s">
        <v>16</v>
      </c>
      <c r="I83" s="11">
        <v>18495</v>
      </c>
      <c r="J83" s="8">
        <f>SUM(I83*1.2)/1000</f>
        <v>22.193999999999999</v>
      </c>
      <c r="K83" s="8">
        <f t="shared" si="9"/>
        <v>1427.2961399999999</v>
      </c>
    </row>
  </sheetData>
  <mergeCells count="133">
    <mergeCell ref="K2:K4"/>
    <mergeCell ref="C5:C6"/>
    <mergeCell ref="D5:D6"/>
    <mergeCell ref="E5:E6"/>
    <mergeCell ref="I5:I14"/>
    <mergeCell ref="C7:C8"/>
    <mergeCell ref="D7:D8"/>
    <mergeCell ref="E7:E8"/>
    <mergeCell ref="A1:J1"/>
    <mergeCell ref="A2:A4"/>
    <mergeCell ref="B2:B4"/>
    <mergeCell ref="C2:C4"/>
    <mergeCell ref="D2:D4"/>
    <mergeCell ref="E2:E4"/>
    <mergeCell ref="F2:F4"/>
    <mergeCell ref="G2:G4"/>
    <mergeCell ref="H2:J3"/>
    <mergeCell ref="A9:A11"/>
    <mergeCell ref="B9:B11"/>
    <mergeCell ref="C9:C11"/>
    <mergeCell ref="D9:D10"/>
    <mergeCell ref="D11:D12"/>
    <mergeCell ref="A12:A14"/>
    <mergeCell ref="B12:B14"/>
    <mergeCell ref="C12:C14"/>
    <mergeCell ref="D13:D14"/>
    <mergeCell ref="A16:J16"/>
    <mergeCell ref="A18:J18"/>
    <mergeCell ref="A19:A21"/>
    <mergeCell ref="B19:B21"/>
    <mergeCell ref="C19:C21"/>
    <mergeCell ref="D19:D21"/>
    <mergeCell ref="E19:E21"/>
    <mergeCell ref="F19:F21"/>
    <mergeCell ref="G19:G21"/>
    <mergeCell ref="H19:J20"/>
    <mergeCell ref="A26:A28"/>
    <mergeCell ref="B26:B28"/>
    <mergeCell ref="C26:C28"/>
    <mergeCell ref="D26:D27"/>
    <mergeCell ref="D28:D29"/>
    <mergeCell ref="B29:B31"/>
    <mergeCell ref="C29:C31"/>
    <mergeCell ref="D30:D31"/>
    <mergeCell ref="K19:K21"/>
    <mergeCell ref="C22:C23"/>
    <mergeCell ref="D22:D23"/>
    <mergeCell ref="E22:E23"/>
    <mergeCell ref="I22:I31"/>
    <mergeCell ref="C24:C25"/>
    <mergeCell ref="D24:D25"/>
    <mergeCell ref="E24:E25"/>
    <mergeCell ref="K36:K38"/>
    <mergeCell ref="C39:C40"/>
    <mergeCell ref="D39:D40"/>
    <mergeCell ref="E39:E40"/>
    <mergeCell ref="I39:I48"/>
    <mergeCell ref="C41:C42"/>
    <mergeCell ref="D41:D42"/>
    <mergeCell ref="E41:E42"/>
    <mergeCell ref="A33:J33"/>
    <mergeCell ref="A35:J35"/>
    <mergeCell ref="A36:A38"/>
    <mergeCell ref="B36:B38"/>
    <mergeCell ref="C36:C38"/>
    <mergeCell ref="D36:D38"/>
    <mergeCell ref="E36:E38"/>
    <mergeCell ref="F36:F38"/>
    <mergeCell ref="G36:G38"/>
    <mergeCell ref="H36:J37"/>
    <mergeCell ref="A43:A45"/>
    <mergeCell ref="B43:B45"/>
    <mergeCell ref="C43:C45"/>
    <mergeCell ref="D43:D44"/>
    <mergeCell ref="D45:D46"/>
    <mergeCell ref="A46:A48"/>
    <mergeCell ref="B46:B48"/>
    <mergeCell ref="C46:C48"/>
    <mergeCell ref="D47:D48"/>
    <mergeCell ref="K53:K55"/>
    <mergeCell ref="C56:C57"/>
    <mergeCell ref="D56:D57"/>
    <mergeCell ref="E56:E57"/>
    <mergeCell ref="I56:I65"/>
    <mergeCell ref="C58:C59"/>
    <mergeCell ref="D58:D59"/>
    <mergeCell ref="E58:E59"/>
    <mergeCell ref="A50:J50"/>
    <mergeCell ref="A52:J52"/>
    <mergeCell ref="A53:A55"/>
    <mergeCell ref="B53:B55"/>
    <mergeCell ref="C53:C55"/>
    <mergeCell ref="D53:D55"/>
    <mergeCell ref="E53:E55"/>
    <mergeCell ref="F53:F55"/>
    <mergeCell ref="G53:G55"/>
    <mergeCell ref="H53:J54"/>
    <mergeCell ref="A60:A62"/>
    <mergeCell ref="B60:B62"/>
    <mergeCell ref="C60:C62"/>
    <mergeCell ref="D60:D61"/>
    <mergeCell ref="D62:D63"/>
    <mergeCell ref="A63:A65"/>
    <mergeCell ref="B63:B65"/>
    <mergeCell ref="C63:C65"/>
    <mergeCell ref="D64:D65"/>
    <mergeCell ref="K70:K72"/>
    <mergeCell ref="C73:C74"/>
    <mergeCell ref="D73:D74"/>
    <mergeCell ref="E73:E74"/>
    <mergeCell ref="I73:I82"/>
    <mergeCell ref="C75:C76"/>
    <mergeCell ref="D75:D76"/>
    <mergeCell ref="E75:E76"/>
    <mergeCell ref="A67:J67"/>
    <mergeCell ref="A69:J69"/>
    <mergeCell ref="A70:A72"/>
    <mergeCell ref="B70:B72"/>
    <mergeCell ref="C70:C72"/>
    <mergeCell ref="D70:D72"/>
    <mergeCell ref="E70:E72"/>
    <mergeCell ref="F70:F72"/>
    <mergeCell ref="G70:G72"/>
    <mergeCell ref="H70:J71"/>
    <mergeCell ref="A77:A79"/>
    <mergeCell ref="B77:B79"/>
    <mergeCell ref="C77:C79"/>
    <mergeCell ref="D77:D78"/>
    <mergeCell ref="D79:D80"/>
    <mergeCell ref="A80:A82"/>
    <mergeCell ref="B80:B82"/>
    <mergeCell ref="C80:C82"/>
    <mergeCell ref="D81:D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ENTRY</vt:lpstr>
      <vt:lpstr>BOTTOM ENTRY</vt:lpstr>
      <vt:lpstr>OLD(FOR REFERENCE)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</dc:creator>
  <dc:description/>
  <cp:lastModifiedBy>Nandakumar M</cp:lastModifiedBy>
  <cp:revision>2</cp:revision>
  <cp:lastPrinted>2026-04-28T16:46:12Z</cp:lastPrinted>
  <dcterms:created xsi:type="dcterms:W3CDTF">2015-06-05T18:17:20Z</dcterms:created>
  <dcterms:modified xsi:type="dcterms:W3CDTF">2026-05-09T07:05:36Z</dcterms:modified>
  <dc:language>en-IN</dc:language>
</cp:coreProperties>
</file>